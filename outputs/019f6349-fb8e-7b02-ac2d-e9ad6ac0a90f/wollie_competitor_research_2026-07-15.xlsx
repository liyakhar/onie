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85825eb87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ea971b0c72d4f66"/>
    <x:sheet xmlns:r="http://schemas.openxmlformats.org/officeDocument/2006/relationships" name="Market Landscape" sheetId="2" r:id="R6750fa3d46be4d16"/>
    <x:sheet xmlns:r="http://schemas.openxmlformats.org/officeDocument/2006/relationships" name="Feature Matrix" sheetId="3" r:id="Rd1ed7c65633c48eb"/>
    <x:sheet xmlns:r="http://schemas.openxmlformats.org/officeDocument/2006/relationships" name="Competitor Profiles" sheetId="4" r:id="Rabfe0b4f3e6d4418"/>
    <x:sheet xmlns:r="http://schemas.openxmlformats.org/officeDocument/2006/relationships" name="Reddit Evidence" sheetId="5" r:id="R5484fbc1859e45c3"/>
    <x:sheet xmlns:r="http://schemas.openxmlformats.org/officeDocument/2006/relationships" name="Pain Themes" sheetId="6" r:id="R11b3e20428bd4886"/>
    <x:sheet xmlns:r="http://schemas.openxmlformats.org/officeDocument/2006/relationships" name="Opportunities" sheetId="7" r:id="Rf8acdadc80214a47"/>
    <x:sheet xmlns:r="http://schemas.openxmlformats.org/officeDocument/2006/relationships" name="Positioning" sheetId="8" r:id="R4609075838004b60"/>
    <x:sheet xmlns:r="http://schemas.openxmlformats.org/officeDocument/2006/relationships" name="Source Index" sheetId="9" r:id="Rdfe366b5a190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"/>
    <x:numFmt numFmtId="202" formatCode="yyyy-mm-dd"/>
    <x:numFmt numFmtId="203" formatCode="#,##0"/>
    <x:numFmt numFmtId="204" formatCode="0&quot;%&quot;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7534E"/>
      <x:name val="Carlito"/>
    </x:font>
    <x:font>
      <x:b/>
      <x:sz val="9"/>
      <x:color rgb="FFFFFFFF"/>
      <x:name val="Carlito"/>
    </x:font>
    <x:font>
      <x:b/>
      <x:sz val="14"/>
      <x:color rgb="FF111111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9"/>
      <x:color rgb="FF111111"/>
      <x:name val="Carlito"/>
    </x:font>
    <x:font>
      <x:sz val="10"/>
      <x:color rgb="FF111111"/>
      <x:name val="Carlito"/>
    </x:font>
    <x:font>
      <x:b/>
      <x:sz val="9"/>
      <x:color rgb="FF57534E"/>
      <x:name val="Carlito"/>
    </x:font>
    <x:font>
      <x:sz val="9"/>
      <x:name val="Carlito"/>
    </x:font>
    <x:font>
      <x:b/>
      <x:sz val="18"/>
      <x:color rgb="FF111111"/>
      <x:name val="Carlito"/>
    </x:font>
    <x:font>
      <x:b/>
      <x:sz val="20"/>
      <x:color rgb="FFFFFFFF"/>
      <x:name val="Aptos Display"/>
    </x:font>
  </x:fonts>
  <x:fills count="10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5F5F4"/>
      </x:patternFill>
    </x:fill>
    <x:fill>
      <x:patternFill patternType="solid">
        <x:fgColor rgb="FFFFE3E3"/>
      </x:patternFill>
    </x:fill>
    <x:fill>
      <x:patternFill patternType="solid">
        <x:fgColor rgb="FFFFF3BF"/>
      </x:patternFill>
    </x:fill>
    <x:fill>
      <x:patternFill patternType="solid">
        <x:fgColor rgb="FFD3F9D8"/>
      </x:patternFill>
    </x:fill>
    <x:fill>
      <x:patternFill patternType="solid">
        <x:fgColor rgb="FF087F5B"/>
      </x:patternFill>
    </x:fill>
    <x:fill>
      <x:patternFill patternType="solid">
        <x:fgColor rgb="FFFFFFFF"/>
      </x:patternFill>
    </x:fill>
    <x:fill>
      <x:patternFill patternType="solid">
        <x:fgColor rgb="FFD0EBFF"/>
      </x:patternFill>
    </x:fill>
  </x:fills>
  <x:borders count="5">
    <x:border/>
    <x:border>
      <x:bottom style="thin">
        <x:color rgb="FFD6D3D1"/>
      </x:bottom>
    </x:border>
    <x:border>
      <x:top style="thin">
        <x:color rgb="FFD6D3D1"/>
      </x:top>
      <x:bottom style="thin">
        <x:color rgb="FFD6D3D1"/>
      </x:bottom>
    </x:border>
    <x:border>
      <x:left style="thin">
        <x:color rgb="FFD6D3D1"/>
      </x:left>
      <x:right style="thin">
        <x:color rgb="FFD6D3D1"/>
      </x:right>
      <x:top style="thin">
        <x:color rgb="FFD6D3D1"/>
      </x:top>
      <x:bottom style="thin">
        <x:color rgb="FFD6D3D1"/>
      </x:bottom>
    </x:border>
    <x:border>
      <x:top style="thin">
        <x:color rgb="FFD6D3D1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2" borderId="3" xfId="0" applyNumberFormat="1" applyFont="1" applyFill="1" applyBorder="1"/>
    <x:xf numFmtId="0" fontId="5" fillId="2" borderId="3" xfId="0" applyNumberFormat="1" applyFont="1" applyFill="1" applyBorder="1"/>
    <x:xf numFmtId="200" fontId="0" fillId="0" borderId="3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201" fontId="7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9" fillId="3" borderId="0" xfId="0" applyNumberFormat="1" applyFont="1" applyFill="1" applyBorder="1"/>
    <x:xf numFmtId="201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1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2" xfId="0" applyNumberFormat="1" applyFont="1" applyFill="1" applyBorder="1"/>
    <x:xf numFmtId="0" fontId="10" fillId="0" borderId="4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2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 wrapText="1"/>
    </x:xf>
    <x:xf numFmtId="200" fontId="10" fillId="0" borderId="2" xfId="0" applyNumberFormat="1" applyFont="1" applyFill="1" applyBorder="1" applyAlignment="1">
      <x:alignment vertical="top" wrapText="1"/>
    </x:xf>
    <x:xf numFmtId="200" fontId="10" fillId="0" borderId="4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203" fontId="7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3" borderId="0" xfId="0" applyNumberFormat="1" applyFont="1" applyFill="1" applyBorder="1"/>
    <x:xf numFmtId="204" fontId="9" fillId="3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horizont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c40c9cc3e406a" /><Relationship Type="http://schemas.openxmlformats.org/officeDocument/2006/relationships/theme" Target="/xl/theme/theme1.xml" Id="R7885f45245d64baa" /><Relationship Type="http://schemas.openxmlformats.org/officeDocument/2006/relationships/sharedStrings" Target="/xl/sharedStrings.xml" Id="Rc5e4313cbc8e408e" /><Relationship Type="http://schemas.openxmlformats.org/officeDocument/2006/relationships/worksheet" Target="/xl/worksheets/sheet1.xml" Id="Rbea971b0c72d4f66" /><Relationship Type="http://schemas.openxmlformats.org/officeDocument/2006/relationships/worksheet" Target="/xl/worksheets/sheet2.xml" Id="R6750fa3d46be4d16" /><Relationship Type="http://schemas.openxmlformats.org/officeDocument/2006/relationships/worksheet" Target="/xl/worksheets/sheet3.xml" Id="Rd1ed7c65633c48eb" /><Relationship Type="http://schemas.openxmlformats.org/officeDocument/2006/relationships/worksheet" Target="/xl/worksheets/sheet4.xml" Id="Rabfe0b4f3e6d4418" /><Relationship Type="http://schemas.openxmlformats.org/officeDocument/2006/relationships/worksheet" Target="/xl/worksheets/sheet5.xml" Id="R5484fbc1859e45c3" /><Relationship Type="http://schemas.openxmlformats.org/officeDocument/2006/relationships/worksheet" Target="/xl/worksheets/sheet6.xml" Id="R11b3e20428bd4886" /><Relationship Type="http://schemas.openxmlformats.org/officeDocument/2006/relationships/worksheet" Target="/xl/worksheets/sheet7.xml" Id="Rf8acdadc80214a47" /><Relationship Type="http://schemas.openxmlformats.org/officeDocument/2006/relationships/worksheet" Target="/xl/worksheets/sheet8.xml" Id="R4609075838004b60" /><Relationship Type="http://schemas.openxmlformats.org/officeDocument/2006/relationships/worksheet" Target="/xl/worksheets/sheet9.xml" Id="Rdfe366b5a1904e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667d9b7b6b4b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weighted fit for Wollie’s target user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Weighted fit</c:v>
          </c:tx>
          <c:cat>
            <c:strRef>
              <c:f>'Executive Summary'!$A$32:$A$41</c:f>
              <c:strCache>
                <c:ptCount val="0"/>
              </c:strCache>
            </c:strRef>
          </c:cat>
          <c:val>
            <c:numRef>
              <c:f>'Executive Summary'!$B$32:$B$41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30</xdr:row>
      <xdr:rowOff>0</xdr:rowOff>
    </xdr:from>
    <xdr:to>
      <xdr:col>10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667d9b7b6b4b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Sequence" displayName="SummarySequence" ref="A25:C28" headerRowCount="1" totalsRowCount="0" totalsRowShown="0">
  <x:autoFilter ref="A25:C28"/>
  <x:tableColumns count="3">
    <x:tableColumn id="1" name="Horizon"/>
    <x:tableColumn id="2" name="Objective"/>
    <x:tableColumn id="3" name="Deliverab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ndscapeTable" displayName="LandscapeTable" ref="A6:N17" headerRowCount="1" totalsRowCount="0" totalsRowShown="0">
  <x:autoFilter ref="A6:N17"/>
  <x:tableColumns count="14">
    <x:tableColumn id="1" name="Company"/>
    <x:tableColumn id="2" name="Set"/>
    <x:tableColumn id="3" name="Position"/>
    <x:tableColumn id="4" name="Target / geography"/>
    <x:tableColumn id="5" name="Founded"/>
    <x:tableColumn id="6" name="Status"/>
    <x:tableColumn id="7" name="Traction signal"/>
    <x:tableColumn id="8" name="Pricing"/>
    <x:tableColumn id="9" name="Platforms"/>
    <x:tableColumn id="10" name="Bank coverage"/>
    <x:tableColumn id="11" name="Strengths"/>
    <x:tableColumn id="12" name="Weaknesses / gaps"/>
    <x:tableColumn id="13" name="Threat to Wollie"/>
    <x:tableColumn id="14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MatrixTable" displayName="FeatureMatrixTable" ref="A5:Q15" headerRowCount="1" totalsRowCount="0" totalsRowShown="0">
  <x:tableColumns count="17">
    <x:tableColumn id="1" name="Competitor"/>
    <x:tableColumn id="2" name="EU bank coverage"/>
    <x:tableColumn id="3" name="Sync reliability &amp; repair"/>
    <x:tableColumn id="4" name="Low setup / upkeep"/>
    <x:tableColumn id="5" name="Safe-to-spend clarity"/>
    <x:tableColumn id="6" name="Budgeting depth"/>
    <x:tableColumn id="7" name="Recurring bills"/>
    <x:tableColumn id="8" name="Categorization &amp; rules"/>
    <x:tableColumn id="9" name="Shared household"/>
    <x:tableColumn id="10" name="Multi-currency"/>
    <x:tableColumn id="11" name="Portability &amp; recovery"/>
    <x:tableColumn id="12" name="Cross-platform"/>
    <x:tableColumn id="13" name="Price / value"/>
    <x:tableColumn id="14" name="Privacy / trust"/>
    <x:tableColumn id="15" name="Weighted fit"/>
    <x:tableColumn id="16" name="Score rationale"/>
    <x:tableColumn id="17" name="Primary sour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sTable" displayName="ProfilesTable" ref="A5:J14" headerRowCount="1" totalsRowCount="0" totalsRowShown="0">
  <x:autoFilter ref="A5:J14"/>
  <x:tableColumns count="10">
    <x:tableColumn id="1" name="Competitor"/>
    <x:tableColumn id="2" name="Positioning"/>
    <x:tableColumn id="3" name="Core strengths"/>
    <x:tableColumn id="4" name="Product weaknesses / gaps"/>
    <x:tableColumn id="5" name="Business model / GTM"/>
    <x:tableColumn id="6" name="Moat / switching cost"/>
    <x:tableColumn id="7" name="Wollie response"/>
    <x:tableColumn id="8" name="Threat"/>
    <x:tableColumn id="9" name="12–18 month watch"/>
    <x:tableColumn id="10" name="Primary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dditEvidenceTable" displayName="RedditEvidenceTable" ref="A5:K45" headerRowCount="1" totalsRowCount="0" totalsRowShown="0">
  <x:autoFilter ref="A5:K45"/>
  <x:tableColumns count="11">
    <x:tableColumn id="1" name="ID"/>
    <x:tableColumn id="2" name="Date"/>
    <x:tableColumn id="3" name="Subreddit"/>
    <x:tableColumn id="4" name="Product / scope"/>
    <x:tableColumn id="5" name="Signal type"/>
    <x:tableColumn id="6" name="Pain theme"/>
    <x:tableColumn id="7" name="User problem (paraphrased)"/>
    <x:tableColumn id="8" name="Strategic implication"/>
    <x:tableColumn id="9" name="Strength"/>
    <x:tableColumn id="10" name="Upvotes"/>
    <x:tableColumn id="11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inThemesTable" displayName="PainThemesTable" ref="A5:I17" headerRowCount="1" totalsRowCount="0" totalsRowShown="0">
  <x:tableColumns count="9">
    <x:tableColumn id="1" name="Theme"/>
    <x:tableColumn id="2" name="Evidence count"/>
    <x:tableColumn id="3" name="High-signal count"/>
    <x:tableColumn id="4" name="User impact"/>
    <x:tableColumn id="5" name="Wollie fit"/>
    <x:tableColumn id="6" name="Priority"/>
    <x:tableColumn id="7" name="User language"/>
    <x:tableColumn id="8" name="Recommended response"/>
    <x:tableColumn id="9" name="Example sourc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portunitiesTable" displayName="OpportunitiesTable" ref="A5:L17" headerRowCount="1" totalsRowCount="0" totalsRowShown="0">
  <x:tableColumns count="12">
    <x:tableColumn id="1" name="Opportunity"/>
    <x:tableColumn id="2" name="Evidence"/>
    <x:tableColumn id="3" name="User outcome"/>
    <x:tableColumn id="4" name="Desirability"/>
    <x:tableColumn id="5" name="Differentiation"/>
    <x:tableColumn id="6" name="Feasibility"/>
    <x:tableColumn id="7" name="Trust leverage"/>
    <x:tableColumn id="8" name="Strategic fit"/>
    <x:tableColumn id="9" name="Priority score"/>
    <x:tableColumn id="10" name="Horizon"/>
    <x:tableColumn id="11" name="Build / prove"/>
    <x:tableColumn id="12" name="Guardrai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sitioningChoices" displayName="PositioningChoices" ref="A10:C18" headerRowCount="1" totalsRowCount="0" totalsRowShown="0">
  <x:autoFilter ref="A10:C18"/>
  <x:tableColumns count="3">
    <x:tableColumn id="1" name="Decision"/>
    <x:tableColumn id="2" name="Recommendation"/>
    <x:tableColumn id="3" name="Wh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ssagingTable" displayName="MessagingTable" ref="A22:C27" headerRowCount="1" totalsRowCount="0" totalsRowShown="0">
  <x:autoFilter ref="A22:C27"/>
  <x:tableColumns count="3">
    <x:tableColumn id="1" name="Use"/>
    <x:tableColumn id="2" name="Copy"/>
    <x:tableColumn id="3" name="Proof requireme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IndexTable" displayName="SourceIndexTable" ref="A5:F30" headerRowCount="1" totalsRowCount="0" totalsRowShown="0">
  <x:autoFilter ref="A5:F30"/>
  <x:tableColumns count="6">
    <x:tableColumn id="1" name="ID"/>
    <x:tableColumn id="2" name="Type"/>
    <x:tableColumn id="3" name="Title"/>
    <x:tableColumn id="4" name="URL / local source"/>
    <x:tableColumn id="5" name="Claims supported"/>
    <x:tableColumn id="6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46518666484597" /><Relationship Type="http://schemas.openxmlformats.org/officeDocument/2006/relationships/table" Target="/xl/tables/table1.xml" Id="R84d9adc8e1fe4d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966a858d38542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87bddd0a114a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d3d4e543be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8e86cfd1fe49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694bbc053d4e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94e1be003340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f830c7c22584611" /><Relationship Type="http://schemas.openxmlformats.org/officeDocument/2006/relationships/table" Target="/xl/tables/table9.xml" Id="Rd3c95bec1fa747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034602383734d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86" hidden="0" customWidth="1"/>
  </x:cols>
  <x:sheetData>
    <x:row r="1" ht="34" customHeight="1">
      <x:c r="A1" s="89" t="str">
        <x:v>Wollie competitive research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Current as of 2026-07-15 · EU-first bank-sync budgeting · 40 Reddit observations + primary competitor sources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8" t="str">
        <x:v>VERDICT</x:v>
      </x:c>
      <x:c r="B4" s="8"/>
      <x:c r="C4" s="8"/>
      <x:c r="D4" s="12" t="str">
        <x:v>Wollie has a distinctive promise, but not yet a defensible product moat.</x:v>
      </x:c>
      <x:c r="E4" s="12"/>
      <x:c r="F4" s="12"/>
      <x:c r="G4" s="12"/>
      <x:c r="H4" s="12"/>
      <x:c r="I4" s="12"/>
      <x:c r="J4" s="12"/>
    </x:row>
    <x:row r="5">
      <x:c r="D5" s="12"/>
      <x:c r="E5" s="12"/>
      <x:c r="F5" s="12"/>
      <x:c r="G5" s="12"/>
      <x:c r="H5" s="12"/>
      <x:c r="I5" s="12"/>
      <x:c r="J5" s="12"/>
    </x:row>
    <x:row r="7">
      <x:c r="A7" s="8" t="str">
        <x:v>CURRENT STANDOUT</x:v>
      </x:c>
      <x:c r="B7" s="8"/>
      <x:c r="C7" s="8"/>
      <x:c r="D7" s="16" t="str">
        <x:v>Messaging: yes · Feature moat: weak · Operational proof: not yet</x:v>
      </x:c>
      <x:c r="E7" s="16"/>
      <x:c r="F7" s="16"/>
      <x:c r="G7" s="16"/>
      <x:c r="H7" s="16"/>
      <x:c r="I7" s="16"/>
      <x:c r="J7" s="16"/>
    </x:row>
    <x:row r="8">
      <x:c r="D8" s="16"/>
      <x:c r="E8" s="16"/>
      <x:c r="F8" s="16"/>
      <x:c r="G8" s="16"/>
      <x:c r="H8" s="16"/>
      <x:c r="I8" s="16"/>
      <x:c r="J8" s="16"/>
    </x:row>
    <x:row r="10">
      <x:c r="A10" s="8" t="str">
        <x:v>BEST WEDGE</x:v>
      </x:c>
      <x:c r="B10" s="8"/>
      <x:c r="C10" s="8"/>
      <x:c r="D10" s="20" t="str">
        <x:v>Reliable EU sync + explainable safe-to-spend + first-class shared finances</x:v>
      </x:c>
      <x:c r="E10" s="20"/>
      <x:c r="F10" s="20"/>
      <x:c r="G10" s="20"/>
      <x:c r="H10" s="20"/>
      <x:c r="I10" s="20"/>
      <x:c r="J10" s="20"/>
    </x:row>
    <x:row r="11">
      <x:c r="D11" s="20"/>
      <x:c r="E11" s="20"/>
      <x:c r="F11" s="20"/>
      <x:c r="G11" s="20"/>
      <x:c r="H11" s="20"/>
      <x:c r="I11" s="20"/>
      <x:c r="J11" s="20"/>
    </x:row>
    <x:row r="13">
      <x:c r="A13" s="23" t="str">
        <x:v>What the evidence says</x:v>
      </x:c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5" t="str">
        <x:v>01</x:v>
      </x:c>
      <x:c r="B14" s="30" t="str">
        <x:v>“Calm” is attractive but easy to copy; PocketSmith already markets Safe Balance and Bilance already feels modern in Europe.</x:v>
      </x:c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25"/>
      <x:c r="B15" s="31"/>
      <x:c r="C15" s="31"/>
      <x:c r="D15" s="31"/>
      <x:c r="E15" s="31"/>
      <x:c r="F15" s="31"/>
      <x:c r="G15" s="31"/>
      <x:c r="H15" s="31"/>
      <x:c r="I15" s="31"/>
      <x:c r="J15" s="31"/>
    </x:row>
    <x:row r="16">
      <x:c r="A16" s="25" t="str">
        <x:v>02</x:v>
      </x:c>
      <x:c r="B16" s="37" t="str">
        <x:v>Bank sync reliability is the dominant pain: stale data, duplicates, reconnection loops and lost categorization make every downstream insight suspect.</x:v>
      </x:c>
      <x:c r="C16" s="37"/>
      <x:c r="D16" s="37"/>
      <x:c r="E16" s="37"/>
      <x:c r="F16" s="37"/>
      <x:c r="G16" s="37"/>
      <x:c r="H16" s="37"/>
      <x:c r="I16" s="37"/>
      <x:c r="J16" s="37"/>
    </x:row>
    <x:row r="17">
      <x:c r="A17" s="25"/>
      <x:c r="B17" s="38"/>
      <x:c r="C17" s="38"/>
      <x:c r="D17" s="38"/>
      <x:c r="E17" s="38"/>
      <x:c r="F17" s="38"/>
      <x:c r="G17" s="38"/>
      <x:c r="H17" s="38"/>
      <x:c r="I17" s="38"/>
      <x:c r="J17" s="38"/>
    </x:row>
    <x:row r="18">
      <x:c r="A18" s="25" t="str">
        <x:v>03</x:v>
      </x:c>
      <x:c r="B18" s="30" t="str">
        <x:v>Shared household money is the clearest unmet EU job: users want mine / yours / ours and ownership ratios without Splitwise workarounds.</x:v>
      </x:c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25"/>
      <x:c r="B19" s="31"/>
      <x:c r="C19" s="31"/>
      <x:c r="D19" s="31"/>
      <x:c r="E19" s="31"/>
      <x:c r="F19" s="31"/>
      <x:c r="G19" s="31"/>
      <x:c r="H19" s="31"/>
      <x:c r="I19" s="31"/>
      <x:c r="J19" s="31"/>
    </x:row>
    <x:row r="20">
      <x:c r="A20" s="25" t="str">
        <x:v>04</x:v>
      </x:c>
      <x:c r="B20" s="37" t="str">
        <x:v>€59/year is credible mid-market pricing: below YNAB, PocketSmith and Bilance; above Spendee/Snoop and vulnerable to Wallet lifetime offers.</x:v>
      </x:c>
      <x:c r="C20" s="37"/>
      <x:c r="D20" s="37"/>
      <x:c r="E20" s="37"/>
      <x:c r="F20" s="37"/>
      <x:c r="G20" s="37"/>
      <x:c r="H20" s="37"/>
      <x:c r="I20" s="37"/>
      <x:c r="J20" s="37"/>
    </x:row>
    <x:row r="21">
      <x:c r="A21" s="25"/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A22" s="25" t="str">
        <x:v>05</x:v>
      </x:c>
      <x:c r="B22" s="30" t="str">
        <x:v>The target should be continental European couples or households with 2+ accounts who want control without zero-based-budget upkeep.</x:v>
      </x:c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25"/>
      <x:c r="B23" s="31"/>
      <x:c r="C23" s="31"/>
      <x:c r="D23" s="31"/>
      <x:c r="E23" s="31"/>
      <x:c r="F23" s="31"/>
      <x:c r="G23" s="31"/>
      <x:c r="H23" s="31"/>
      <x:c r="I23" s="31"/>
      <x:c r="J23" s="31"/>
    </x:row>
    <x:row r="24">
      <x:c r="A24" s="23" t="str">
        <x:v>Recommended sequence</x:v>
      </x:c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 ht="32" customHeight="1">
      <x:c r="A25" s="41" t="str">
        <x:v>Horizon</x:v>
      </x:c>
      <x:c r="B25" s="41" t="str">
        <x:v>Objective</x:v>
      </x:c>
      <x:c r="C25" s="41" t="str">
        <x:v>Deliverables</x:v>
      </x:c>
    </x:row>
    <x:row r="26" ht="44" customHeight="1">
      <x:c r="A26" s="45" t="str">
        <x:v>0–3 months</x:v>
      </x:c>
      <x:c r="B26" s="45" t="str">
        <x:v>Prove trust</x:v>
      </x:c>
      <x:c r="C26" s="45" t="str">
        <x:v>Sync health + dedupe + safe-to-spend explanation + teach-once categories + full export/restore</x:v>
      </x:c>
    </x:row>
    <x:row r="27" ht="44" customHeight="1">
      <x:c r="A27" s="45" t="str">
        <x:v>3–6 months</x:v>
      </x:c>
      <x:c r="B27" s="45" t="str">
        <x:v>Create the moat</x:v>
      </x:c>
      <x:c r="C27" s="45" t="str">
        <x:v>Household invite, ownership ratios, joint/personal views, irregular obligations, weekly review</x:v>
      </x:c>
    </x:row>
    <x:row r="28" ht="44" customHeight="1">
      <x:c r="A28" s="45" t="str">
        <x:v>6–12 months</x:v>
      </x:c>
      <x:c r="B28" s="45" t="str">
        <x:v>Expand carefully</x:v>
      </x:c>
      <x:c r="C28" s="45" t="str">
        <x:v>Multi-country and multi-currency, second provider resilience, PWA/native decision from retention data</x:v>
      </x:c>
    </x:row>
    <x:row r="31">
      <x:c r="A31" s="48" t="str">
        <x:v>Competitor</x:v>
      </x:c>
      <x:c r="B31" s="48" t="str">
        <x:v>Weighted fit</x:v>
      </x:c>
    </x:row>
    <x:row r="32">
      <x:c r="A32" s="46" t="str">
        <x:f>'Feature Matrix'!A6</x:f>
        <x:v>Wollie</x:v>
      </x:c>
      <x:c r="B32" s="49" t="n">
        <x:f>'Feature Matrix'!O6</x:f>
        <x:v>0.5633333333333334</x:v>
      </x:c>
    </x:row>
    <x:row r="33">
      <x:c r="A33" s="46" t="str">
        <x:f>'Feature Matrix'!A7</x:f>
        <x:v>Wallet</x:v>
      </x:c>
      <x:c r="B33" s="49" t="n">
        <x:f>'Feature Matrix'!O7</x:f>
        <x:v>0.5966666666666667</x:v>
      </x:c>
    </x:row>
    <x:row r="34">
      <x:c r="A34" s="46" t="str">
        <x:f>'Feature Matrix'!A8</x:f>
        <x:v>Bilance</x:v>
      </x:c>
      <x:c r="B34" s="49" t="n">
        <x:f>'Feature Matrix'!O8</x:f>
        <x:v>0.7266666666666667</x:v>
      </x:c>
    </x:row>
    <x:row r="35">
      <x:c r="A35" s="46" t="str">
        <x:f>'Feature Matrix'!A9</x:f>
        <x:v>YNAB</x:v>
      </x:c>
      <x:c r="B35" s="49" t="n">
        <x:f>'Feature Matrix'!O9</x:f>
        <x:v>0.6133333333333333</x:v>
      </x:c>
    </x:row>
    <x:row r="36">
      <x:c r="A36" s="46" t="str">
        <x:f>'Feature Matrix'!A10</x:f>
        <x:v>Spendee</x:v>
      </x:c>
      <x:c r="B36" s="49" t="n">
        <x:f>'Feature Matrix'!O10</x:f>
        <x:v>0.63</x:v>
      </x:c>
    </x:row>
    <x:row r="37">
      <x:c r="A37" s="46" t="str">
        <x:f>'Feature Matrix'!A11</x:f>
        <x:v>MoneyWiz</x:v>
      </x:c>
      <x:c r="B37" s="49" t="n">
        <x:f>'Feature Matrix'!O11</x:f>
        <x:v>0.7166666666666667</x:v>
      </x:c>
    </x:row>
    <x:row r="38">
      <x:c r="A38" s="46" t="str">
        <x:f>'Feature Matrix'!A12</x:f>
        <x:v>PocketSmith</x:v>
      </x:c>
      <x:c r="B38" s="49" t="n">
        <x:f>'Feature Matrix'!O12</x:f>
        <x:v>0.8366666666666667</x:v>
      </x:c>
    </x:row>
    <x:row r="39">
      <x:c r="A39" s="46" t="str">
        <x:f>'Feature Matrix'!A13</x:f>
        <x:v>Actual Budget</x:v>
      </x:c>
      <x:c r="B39" s="49" t="n">
        <x:f>'Feature Matrix'!O13</x:f>
        <x:v>0.5966666666666667</x:v>
      </x:c>
    </x:row>
    <x:row r="40">
      <x:c r="A40" s="46" t="str">
        <x:f>'Feature Matrix'!A14</x:f>
        <x:v>Snoop</x:v>
      </x:c>
      <x:c r="B40" s="49" t="n">
        <x:f>'Feature Matrix'!O14</x:f>
        <x:v>0.5466666666666666</x:v>
      </x:c>
    </x:row>
    <x:row r="41">
      <x:c r="A41" s="46" t="str">
        <x:f>'Feature Matrix'!A15</x:f>
        <x:v>Emma</x:v>
      </x:c>
      <x:c r="B41" s="49" t="n">
        <x:f>'Feature Matrix'!O15</x:f>
        <x:v>0.5533333333333333</x:v>
      </x:c>
    </x:row>
  </x:sheetData>
  <x:mergeCells>
    <x:mergeCell ref="A1:J1"/>
    <x:mergeCell ref="A2:J2"/>
    <x:mergeCell ref="A4:C4"/>
    <x:mergeCell ref="D4:J5"/>
    <x:mergeCell ref="A7:C7"/>
    <x:mergeCell ref="D7:J8"/>
    <x:mergeCell ref="A10:C10"/>
    <x:mergeCell ref="D10:J11"/>
    <x:mergeCell ref="A13:J13"/>
    <x:mergeCell ref="A14:A15"/>
    <x:mergeCell ref="B14:J15"/>
    <x:mergeCell ref="A16:A17"/>
    <x:mergeCell ref="B16:J17"/>
    <x:mergeCell ref="A18:A19"/>
    <x:mergeCell ref="B18:J19"/>
    <x:mergeCell ref="A20:A21"/>
    <x:mergeCell ref="B20:J21"/>
    <x:mergeCell ref="A22:A23"/>
    <x:mergeCell ref="B22:J23"/>
    <x:mergeCell ref="A24:J24"/>
  </x:mergeCells>
  <x:pageMargins left="0.7" right="0.7" top="0.75" bottom="0.75" header="0.3" footer="0.3"/>
  <x:drawing xmlns:r="http://schemas.openxmlformats.org/officeDocument/2006/relationships" r:id="R9946518666484597"/>
  <x:tableParts count="1">
    <x:tablePart xmlns:r="http://schemas.openxmlformats.org/officeDocument/2006/relationships" r:id="R84d9adc8e1fe4d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4" hidden="0" customWidth="1"/>
    <x:col min="5" max="5" width="10" hidden="0" customWidth="1"/>
    <x:col min="6" max="6" width="22" hidden="0" customWidth="1"/>
    <x:col min="7" max="7" width="28" hidden="0" customWidth="1"/>
    <x:col min="8" max="8" width="31" hidden="0" customWidth="1"/>
    <x:col min="9" max="9" width="18" hidden="0" customWidth="1"/>
    <x:col min="10" max="10" width="34" hidden="0" customWidth="1"/>
    <x:col min="11" max="11" width="40" hidden="0" customWidth="1"/>
    <x:col min="12" max="12" width="42" hidden="0" customWidth="1"/>
    <x:col min="13" max="13" width="20" hidden="0" customWidth="1"/>
    <x:col min="14" max="14" width="48" hidden="0" customWidth="1"/>
  </x:cols>
  <x:sheetData>
    <x:row r="1" ht="34" customHeight="1">
      <x:c r="A1" s="89" t="str">
        <x:v>Market landscape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Primary direct set: Wallet, Bilance, YNAB, Spendee, MoneyWiz, PocketSmith and Actual · adjacent UK benchmarks included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2" customHeight="1">
      <x:c r="A4" s="52" t="str">
        <x:v>Market signal: Open Banking Limited reported 16.5M live UK user connections by late 2025. A public market estimate projects personal-finance software from $1.08B (2022) to $1.59B (2030), 5.1% CAGR. Directionally useful; not a market-share estimate for Wollie.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</x:row>
    <x:row r="6" ht="32" customHeight="1">
      <x:c r="A6" s="41" t="str">
        <x:v>Company</x:v>
      </x:c>
      <x:c r="B6" s="41" t="str">
        <x:v>Set</x:v>
      </x:c>
      <x:c r="C6" s="41" t="str">
        <x:v>Position</x:v>
      </x:c>
      <x:c r="D6" s="41" t="str">
        <x:v>Target / geography</x:v>
      </x:c>
      <x:c r="E6" s="41" t="str">
        <x:v>Founded</x:v>
      </x:c>
      <x:c r="F6" s="41" t="str">
        <x:v>Status</x:v>
      </x:c>
      <x:c r="G6" s="41" t="str">
        <x:v>Traction signal</x:v>
      </x:c>
      <x:c r="H6" s="41" t="str">
        <x:v>Pricing</x:v>
      </x:c>
      <x:c r="I6" s="41" t="str">
        <x:v>Platforms</x:v>
      </x:c>
      <x:c r="J6" s="41" t="str">
        <x:v>Bank coverage</x:v>
      </x:c>
      <x:c r="K6" s="41" t="str">
        <x:v>Strengths</x:v>
      </x:c>
      <x:c r="L6" s="41" t="str">
        <x:v>Weaknesses / gaps</x:v>
      </x:c>
      <x:c r="M6" s="41" t="str">
        <x:v>Threat to Wollie</x:v>
      </x:c>
      <x:c r="N6" s="41" t="str">
        <x:v>Sources</x:v>
      </x:c>
    </x:row>
    <x:row r="7" ht="68" customHeight="1">
      <x:c r="A7" s="45" t="str">
        <x:v>Wollie</x:v>
      </x:c>
      <x:c r="B7" s="45" t="str">
        <x:v>Direct / focal product</x:v>
      </x:c>
      <x:c r="C7" s="45" t="str">
        <x:v>Emerging EU challenger</x:v>
      </x:c>
      <x:c r="D7" s="45" t="str">
        <x:v>Continental Europe; people who want clarity without spreadsheet upkeep</x:v>
      </x:c>
      <x:c r="E7" s="53" t="n">
        <x:v>2026</x:v>
      </x:c>
      <x:c r="F7" s="45" t="str">
        <x:v>Pre-launch / beta; bootstrapped</x:v>
      </x:c>
      <x:c r="G7" s="45" t="str">
        <x:v>No public traction yet</x:v>
      </x:c>
      <x:c r="H7" s="45" t="str">
        <x:v>€7.99/mo; €59/yr; 14-day no-card trial</x:v>
      </x:c>
      <x:c r="I7" s="45" t="str">
        <x:v>Responsive web</x:v>
      </x:c>
      <x:c r="J7" s="45" t="str">
        <x:v>Enable Banking; current picker: BE, LT, FR, NL, DE</x:v>
      </x:c>
      <x:c r="K7" s="45" t="str">
        <x:v>Safe-to-spend, transaction review, confirmed recurring bills, calm UI</x:v>
      </x:c>
      <x:c r="L7" s="45" t="str">
        <x:v>Coverage breadth, background sync proof, shared finances, multi-currency, native mobile</x:v>
      </x:c>
      <x:c r="M7" s="45" t="str">
        <x:v>Medium today; high if trust wedge is proven</x:v>
      </x:c>
      <x:c r="N7" s="45" t="str">
        <x:v>/Users/liya/Projects/wollie/PRODUCT.md</x:v>
      </x:c>
    </x:row>
    <x:row r="8" ht="68" customHeight="1">
      <x:c r="A8" s="45" t="str">
        <x:v>Wallet by BudgetBakers</x:v>
      </x:c>
      <x:c r="B8" s="45" t="str">
        <x:v>Primary direct</x:v>
      </x:c>
      <x:c r="C8" s="45" t="str">
        <x:v>EU/global scale leader</x:v>
      </x:c>
      <x:c r="D8" s="45" t="str">
        <x:v>Broad consumer PFM; Europe and global</x:v>
      </x:c>
      <x:c r="E8" s="53" t="n">
        <x:v>2014</x:v>
      </x:c>
      <x:c r="F8" s="45" t="str">
        <x:v>Private; PSD2-licensed AISP</x:v>
      </x:c>
      <x:c r="G8" s="45" t="str">
        <x:v>5M+ downloads; 500K+ paying customers</x:v>
      </x:c>
      <x:c r="H8" s="45" t="str">
        <x:v>Free manual tier; Premium monthly/yearly/lifetime; local price varies</x:v>
      </x:c>
      <x:c r="I8" s="45" t="str">
        <x:v>Web, iOS, Android</x:v>
      </x:c>
      <x:c r="J8" s="45" t="str">
        <x:v>15,000+ institutions; daily sync claim</x:v>
      </x:c>
      <x:c r="K8" s="45" t="str">
        <x:v>Breadth, bank coverage, multi-currency, imports, lifetime option, scale</x:v>
      </x:c>
      <x:c r="L8" s="45" t="str">
        <x:v>Reddit reports sync failures, weak support, rigid categories, restore gaps</x:v>
      </x:c>
      <x:c r="M8" s="45" t="str">
        <x:v>Very high</x:v>
      </x:c>
      <x:c r="N8" s="45" t="str">
        <x:v>https://budgetbakers.com/en/about-us/ | https://budgetbakers.com/en/products/wallet/features/bank-sync/</x:v>
      </x:c>
    </x:row>
    <x:row r="9" ht="68" customHeight="1">
      <x:c r="A9" s="45" t="str">
        <x:v>Bilance</x:v>
      </x:c>
      <x:c r="B9" s="45" t="str">
        <x:v>Primary direct</x:v>
      </x:c>
      <x:c r="C9" s="45" t="str">
        <x:v>Fast-rising EU-native challenger</x:v>
      </x:c>
      <x:c r="D9" s="45" t="str">
        <x:v>European mobile users seeking modern automation</x:v>
      </x:c>
      <x:c r="E9" s="53"/>
      <x:c r="F9" s="45" t="str">
        <x:v>Private Estonian company</x:v>
      </x:c>
      <x:c r="G9" s="45" t="str">
        <x:v>100,000+ European users</x:v>
      </x:c>
      <x:c r="H9" s="45" t="str">
        <x:v>Example NL App Store: €13.99/mo; €69.99/yr; 7-day trial</x:v>
      </x:c>
      <x:c r="I9" s="45" t="str">
        <x:v>iOS / Android mobile-first</x:v>
      </x:c>
      <x:c r="J9" s="45" t="str">
        <x:v>EU Open Banking via GoCardless</x:v>
      </x:c>
      <x:c r="K9" s="45" t="str">
        <x:v>Modern UX, merchant cleanup, bulk similar-transaction edits, recurring detection, AI assistant</x:v>
      </x:c>
      <x:c r="L9" s="45" t="str">
        <x:v>No proper shared-account ownership split; subscription-only; limited platform depth</x:v>
      </x:c>
      <x:c r="M9" s="45" t="str">
        <x:v>Very high</x:v>
      </x:c>
      <x:c r="N9" s="45" t="str">
        <x:v>https://www.bilanceapp.com/ | https://apps.apple.com/nl/app/bilance-geld-budget-kosten/id1570659711</x:v>
      </x:c>
    </x:row>
    <x:row r="10" ht="68" customHeight="1">
      <x:c r="A10" s="45" t="str">
        <x:v>YNAB</x:v>
      </x:c>
      <x:c r="B10" s="45" t="str">
        <x:v>Primary direct</x:v>
      </x:c>
      <x:c r="C10" s="45" t="str">
        <x:v>Method and community leader</x:v>
      </x:c>
      <x:c r="D10" s="45" t="str">
        <x:v>Committed zero-based budgeters; families and partners</x:v>
      </x:c>
      <x:c r="E10" s="53" t="n">
        <x:v>2004</x:v>
      </x:c>
      <x:c r="F10" s="45" t="str">
        <x:v>Private, independent</x:v>
      </x:c>
      <x:c r="G10" s="45" t="str">
        <x:v>Millions helped; 102K+ App Store reviews cited</x:v>
      </x:c>
      <x:c r="H10" s="45" t="str">
        <x:v>$14.99/mo; $109/yr; 34-day no-card trial</x:v>
      </x:c>
      <x:c r="I10" s="45" t="str">
        <x:v>Web, iOS, Android</x:v>
      </x:c>
      <x:c r="J10" s="45" t="str">
        <x:v>Select US, Canada, UK and EU banks</x:v>
      </x:c>
      <x:c r="K10" s="45" t="str">
        <x:v>Distinct budgeting method, education, community, household sharing, goals</x:v>
      </x:c>
      <x:c r="L10" s="45" t="str">
        <x:v>High price, steep learning curve, maintenance burden, uneven import outside core markets</x:v>
      </x:c>
      <x:c r="M10" s="45" t="str">
        <x:v>High</x:v>
      </x:c>
      <x:c r="N10" s="45" t="str">
        <x:v>https://www.ynab.com/pricing | https://www.ynab.com/features</x:v>
      </x:c>
    </x:row>
    <x:row r="11" ht="68" customHeight="1">
      <x:c r="A11" s="45" t="str">
        <x:v>Spendee</x:v>
      </x:c>
      <x:c r="B11" s="45" t="str">
        <x:v>Primary direct</x:v>
      </x:c>
      <x:c r="C11" s="45" t="str">
        <x:v>Value-oriented global tracker</x:v>
      </x:c>
      <x:c r="D11" s="45" t="str">
        <x:v>Consumers and small shared-wallet groups</x:v>
      </x:c>
      <x:c r="E11" s="53" t="n">
        <x:v>2013</x:v>
      </x:c>
      <x:c r="F11" s="45" t="str">
        <x:v>Private Czech company</x:v>
      </x:c>
      <x:c r="G11" s="45" t="str">
        <x:v>Hundreds of thousands worldwide</x:v>
      </x:c>
      <x:c r="H11" s="45" t="str">
        <x:v>$5.99/mo; $35.99/yr Premium; 7-day trial</x:v>
      </x:c>
      <x:c r="I11" s="45" t="str">
        <x:v>Web, iOS, Android</x:v>
      </x:c>
      <x:c r="J11" s="45" t="str">
        <x:v>2,500+ financial providers</x:v>
      </x:c>
      <x:c r="K11" s="45" t="str">
        <x:v>Attractive UI, low price, multi-wallet, imports/exports, shared cash wallets</x:v>
      </x:c>
      <x:c r="L11" s="45" t="str">
        <x:v>Bank wallets and budgets cannot be fully shared; categorization learning complaints</x:v>
      </x:c>
      <x:c r="M11" s="45" t="str">
        <x:v>High</x:v>
      </x:c>
      <x:c r="N11" s="45" t="str">
        <x:v>https://www.spendee.com/pricing | https://help.spendee.com/article/224-shared-wallets</x:v>
      </x:c>
    </x:row>
    <x:row r="12" ht="68" customHeight="1">
      <x:c r="A12" s="45" t="str">
        <x:v>MoneyWiz</x:v>
      </x:c>
      <x:c r="B12" s="45" t="str">
        <x:v>Primary / power-user</x:v>
      </x:c>
      <x:c r="C12" s="45" t="str">
        <x:v>Apple power-user specialist</x:v>
      </x:c>
      <x:c r="D12" s="45" t="str">
        <x:v>Users with complex accounts, currencies and investments</x:v>
      </x:c>
      <x:c r="E12" s="53" t="n">
        <x:v>2010</x:v>
      </x:c>
      <x:c r="F12" s="45" t="str">
        <x:v>Private independent software company</x:v>
      </x:c>
      <x:c r="G12" s="45" t="str">
        <x:v>Not disclosed; long-lived product</x:v>
      </x:c>
      <x:c r="H12" s="45" t="str">
        <x:v>$5.99/mo; $59.99/yr Premium; 7-day trial</x:v>
      </x:c>
      <x:c r="I12" s="45" t="str">
        <x:v>iOS and macOS</x:v>
      </x:c>
      <x:c r="J12" s="45" t="str">
        <x:v>40,000+ banks via multiple providers</x:v>
      </x:c>
      <x:c r="K12" s="45" t="str">
        <x:v>Feature depth, multiple aggregators, offline, investments, reports, import formats</x:v>
      </x:c>
      <x:c r="L12" s="45" t="str">
        <x:v>Apple-only, dense product, weaker calm/simple positioning</x:v>
      </x:c>
      <x:c r="M12" s="45" t="str">
        <x:v>Medium-high</x:v>
      </x:c>
      <x:c r="N12" s="45" t="str">
        <x:v>https://www.wiz.money/ | https://www.wiz.money/pricing</x:v>
      </x:c>
    </x:row>
    <x:row r="13" ht="68" customHeight="1">
      <x:c r="A13" s="45" t="str">
        <x:v>PocketSmith</x:v>
      </x:c>
      <x:c r="B13" s="45" t="str">
        <x:v>Primary / planning</x:v>
      </x:c>
      <x:c r="C13" s="45" t="str">
        <x:v>Forecasting leader</x:v>
      </x:c>
      <x:c r="D13" s="45" t="str">
        <x:v>Household CFOs and multi-currency power users</x:v>
      </x:c>
      <x:c r="E13" s="53" t="n">
        <x:v>2008</x:v>
      </x:c>
      <x:c r="F13" s="45" t="str">
        <x:v>Private New Zealand company</x:v>
      </x:c>
      <x:c r="G13" s="45" t="str">
        <x:v>Not disclosed; established global community</x:v>
      </x:c>
      <x:c r="H13" s="45" t="str">
        <x:v>$9.99/mo annual equivalent Foundation; higher tiers to $319.95/yr</x:v>
      </x:c>
      <x:c r="I13" s="45" t="str">
        <x:v>Web, iOS, Android</x:v>
      </x:c>
      <x:c r="J13" s="45" t="str">
        <x:v>12,000+ institutions</x:v>
      </x:c>
      <x:c r="K13" s="45" t="str">
        <x:v>Safe Balance, deep forecasts, calendar, multi-currency, rules, collaborators</x:v>
      </x:c>
      <x:c r="L13" s="45" t="str">
        <x:v>Expensive, complex, mobile complaints; overkill for simple monthly clarity</x:v>
      </x:c>
      <x:c r="M13" s="45" t="str">
        <x:v>Medium-high</x:v>
      </x:c>
      <x:c r="N13" s="45" t="str">
        <x:v>https://www.pocketsmith.com/pricing/</x:v>
      </x:c>
    </x:row>
    <x:row r="14" ht="68" customHeight="1">
      <x:c r="A14" s="45" t="str">
        <x:v>Actual Budget</x:v>
      </x:c>
      <x:c r="B14" s="45" t="str">
        <x:v>Primary / adjacent</x:v>
      </x:c>
      <x:c r="C14" s="45" t="str">
        <x:v>Open-source envelope leader</x:v>
      </x:c>
      <x:c r="D14" s="45" t="str">
        <x:v>Privacy-conscious and technical self-hosters</x:v>
      </x:c>
      <x:c r="E14" s="53" t="n">
        <x:v>2019</x:v>
      </x:c>
      <x:c r="F14" s="45" t="str">
        <x:v>Open-source community; hosted service ended 2024</x:v>
      </x:c>
      <x:c r="G14" s="45" t="str">
        <x:v>Large active open-source community; no paid user count</x:v>
      </x:c>
      <x:c r="H14" s="45" t="str">
        <x:v>Software free; hosting/provider costs vary</x:v>
      </x:c>
      <x:c r="I14" s="45" t="str">
        <x:v>Web / PWA / desktop-style</x:v>
      </x:c>
      <x:c r="J14" s="45" t="str">
        <x:v>Enable Banking EU; GoCardless legacy; SimpleFIN NA; manual trigger</x:v>
      </x:c>
      <x:c r="K14" s="45" t="str">
        <x:v>Own data, optional E2EE, rules, strong envelope budgeting, API</x:v>
      </x:c>
      <x:c r="L14" s="45" t="str">
        <x:v>Self-host/setup burden, manual sync, provider credentials, mobile and duplicate-sync issues</x:v>
      </x:c>
      <x:c r="M14" s="45" t="str">
        <x:v>High among technical users</x:v>
      </x:c>
      <x:c r="N14" s="45" t="str">
        <x:v>https://actualbudget.org/ | https://actualbudget.org/docs/advanced/bank-sync/</x:v>
      </x:c>
    </x:row>
    <x:row r="15" ht="68" customHeight="1">
      <x:c r="A15" s="45" t="str">
        <x:v>Snoop</x:v>
      </x:c>
      <x:c r="B15" s="45" t="str">
        <x:v>Adjacent</x:v>
      </x:c>
      <x:c r="C15" s="45" t="str">
        <x:v>UK free/open-banking aggregator</x:v>
      </x:c>
      <x:c r="D15" s="45" t="str">
        <x:v>UK consumers focused on tracking and savings</x:v>
      </x:c>
      <x:c r="E15" s="53" t="n">
        <x:v>2019</x:v>
      </x:c>
      <x:c r="F15" s="45" t="str">
        <x:v>Owned by Vanquis Banking Group</x:v>
      </x:c>
      <x:c r="G15" s="45" t="str">
        <x:v>Not disclosed in reviewed sources</x:v>
      </x:c>
      <x:c r="H15" s="45" t="str">
        <x:v>Free; Plus £4.99/mo or £39.99/yr</x:v>
      </x:c>
      <x:c r="I15" s="45" t="str">
        <x:v>Mobile app</x:v>
      </x:c>
      <x:c r="J15" s="45" t="str">
        <x:v>UK Open Banking</x:v>
      </x:c>
      <x:c r="K15" s="45" t="str">
        <x:v>Free aggregation, subscriptions, payday budgets, alerts, refund tracking</x:v>
      </x:c>
      <x:c r="L15" s="45" t="str">
        <x:v>UK-only, mobile-only, less proactive budget depth</x:v>
      </x:c>
      <x:c r="M15" s="45" t="str">
        <x:v>Low in continental EU; high UK benchmark</x:v>
      </x:c>
      <x:c r="N15" s="45" t="str">
        <x:v>https://test.snoop.app/plus/</x:v>
      </x:c>
    </x:row>
    <x:row r="16" ht="68" customHeight="1">
      <x:c r="A16" s="45" t="str">
        <x:v>Emma</x:v>
      </x:c>
      <x:c r="B16" s="45" t="str">
        <x:v>Adjacent</x:v>
      </x:c>
      <x:c r="C16" s="45" t="str">
        <x:v>UK/US/Canada finance super-app</x:v>
      </x:c>
      <x:c r="D16" s="45" t="str">
        <x:v>Mainstream mobile consumers</x:v>
      </x:c>
      <x:c r="E16" s="53" t="n">
        <x:v>2018</x:v>
      </x:c>
      <x:c r="F16" s="45" t="str">
        <x:v>Private UK fintech</x:v>
      </x:c>
      <x:c r="G16" s="45" t="str">
        <x:v>Not disclosed in reviewed primary sources</x:v>
      </x:c>
      <x:c r="H16" s="45" t="str">
        <x:v>Plus £41.99/yr; Pro £83.99; Ultimate £124.99</x:v>
      </x:c>
      <x:c r="I16" s="45" t="str">
        <x:v>Web, iOS, Android</x:v>
      </x:c>
      <x:c r="J16" s="45" t="str">
        <x:v>UK, US and Canada only</x:v>
      </x:c>
      <x:c r="K16" s="45" t="str">
        <x:v>Strong subscription/bill view, polished UX, broad paid tiers</x:v>
      </x:c>
      <x:c r="L16" s="45" t="str">
        <x:v>No continental EU bank connections; tier maze; app-clutter complaints</x:v>
      </x:c>
      <x:c r="M16" s="45" t="str">
        <x:v>Low direct; useful UX benchmark</x:v>
      </x:c>
      <x:c r="N16" s="45" t="str">
        <x:v>https://help.emma-app.com/en/article/how-much-does-emma-plusproultimate-cost-1ywhulq/ | https://help.emma-app.com/en/article/i-can-see-the-wrong-countrys-banks-ukuscanada-15k3f29/</x:v>
      </x:c>
    </x:row>
    <x:row r="17" ht="68" customHeight="1">
      <x:c r="A17" s="45" t="str">
        <x:v>Spiir (closed)</x:v>
      </x:c>
      <x:c r="B17" s="45" t="str">
        <x:v>Exit / market signal</x:v>
      </x:c>
      <x:c r="C17" s="45" t="str">
        <x:v>Former Nordic PFM</x:v>
      </x:c>
      <x:c r="D17" s="45" t="str">
        <x:v>Nordic consumers</x:v>
      </x:c>
      <x:c r="E17" s="53"/>
      <x:c r="F17" s="45" t="str">
        <x:v>Service closed 8 Jun 2026</x:v>
      </x:c>
      <x:c r="G17" s="45" t="str">
        <x:v>Thousands served over a decade</x:v>
      </x:c>
      <x:c r="H17" s="45" t="str">
        <x:v>Was free</x:v>
      </x:c>
      <x:c r="I17" s="45" t="str">
        <x:v>Mobile</x:v>
      </x:c>
      <x:c r="J17" s="45" t="str">
        <x:v>Nordic / EU open banking</x:v>
      </x:c>
      <x:c r="K17" s="45" t="str">
        <x:v>Demonstrated consumer demand and data aggregation</x:v>
      </x:c>
      <x:c r="L17" s="45" t="str">
        <x:v>Shutdown highlights weak unit economics and continuity risk</x:v>
      </x:c>
      <x:c r="M17" s="45" t="str">
        <x:v>Not a competitor; strategic warning</x:v>
      </x:c>
      <x:c r="N17" s="45" t="str">
        <x:v>https://www.spiir.com/</x:v>
      </x:c>
    </x:row>
  </x:sheetData>
  <x:mergeCells>
    <x:mergeCell ref="A1:N1"/>
    <x:mergeCell ref="A2:N2"/>
    <x:mergeCell ref="A4:N4"/>
  </x:mergeCells>
  <x:pageMargins left="0.7" right="0.7" top="0.75" bottom="0.75" header="0.3" footer="0.3"/>
  <x:tableParts count="1">
    <x:tablePart xmlns:r="http://schemas.openxmlformats.org/officeDocument/2006/relationships" r:id="R5966a858d38542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52" hidden="0" customWidth="1"/>
    <x:col min="17" max="17" width="48" hidden="0" customWidth="1"/>
  </x:cols>
  <x:sheetData>
    <x:row r="1" ht="34" customHeight="1">
      <x:c r="A1" s="89" t="str">
        <x:v>Weighted feature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0 = absent / poor · 1 = weak · 2 = credible · 3 = strong · weights reflect Wollie’s intended continental-EU low-maintenance customer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59" t="str">
        <x:v>Weight</x:v>
      </x:c>
      <x:c r="B3" s="60" t="n">
        <x:v>12</x:v>
      </x:c>
      <x:c r="C3" s="60" t="n">
        <x:v>13</x:v>
      </x:c>
      <x:c r="D3" s="60" t="n">
        <x:v>10</x:v>
      </x:c>
      <x:c r="E3" s="60" t="n">
        <x:v>12</x:v>
      </x:c>
      <x:c r="F3" s="60" t="n">
        <x:v>8</x:v>
      </x:c>
      <x:c r="G3" s="60" t="n">
        <x:v>7</x:v>
      </x:c>
      <x:c r="H3" s="60" t="n">
        <x:v>8</x:v>
      </x:c>
      <x:c r="I3" s="60" t="n">
        <x:v>10</x:v>
      </x:c>
      <x:c r="J3" s="60" t="n">
        <x:v>5</x:v>
      </x:c>
      <x:c r="K3" s="60" t="n">
        <x:v>5</x:v>
      </x:c>
      <x:c r="L3" s="60" t="n">
        <x:v>4</x:v>
      </x:c>
      <x:c r="M3" s="60" t="n">
        <x:v>3</x:v>
      </x:c>
      <x:c r="N3" s="60" t="n">
        <x:v>3</x:v>
      </x:c>
    </x:row>
    <x:row r="4">
      <x:c r="A4" s="61" t="str">
        <x:v>Scale</x:v>
      </x:c>
      <x:c r="B4" s="61" t="str">
        <x:v>0–3</x:v>
      </x:c>
      <x:c r="C4" s="61" t="str">
        <x:v>0–3</x:v>
      </x:c>
      <x:c r="D4" s="61" t="str">
        <x:v>0–3</x:v>
      </x:c>
      <x:c r="E4" s="61" t="str">
        <x:v>0–3</x:v>
      </x:c>
      <x:c r="F4" s="61" t="str">
        <x:v>0–3</x:v>
      </x:c>
      <x:c r="G4" s="61" t="str">
        <x:v>0–3</x:v>
      </x:c>
      <x:c r="H4" s="61" t="str">
        <x:v>0–3</x:v>
      </x:c>
      <x:c r="I4" s="61" t="str">
        <x:v>0–3</x:v>
      </x:c>
      <x:c r="J4" s="61" t="str">
        <x:v>0–3</x:v>
      </x:c>
      <x:c r="K4" s="61" t="str">
        <x:v>0–3</x:v>
      </x:c>
      <x:c r="L4" s="61" t="str">
        <x:v>0–3</x:v>
      </x:c>
      <x:c r="M4" s="61" t="str">
        <x:v>0–3</x:v>
      </x:c>
      <x:c r="N4" s="61" t="str">
        <x:v>0–3</x:v>
      </x:c>
    </x:row>
    <x:row r="5" ht="50" customHeight="1">
      <x:c r="A5" s="39" t="str">
        <x:v>Competitor</x:v>
      </x:c>
      <x:c r="B5" s="39" t="str">
        <x:v>EU bank coverage</x:v>
      </x:c>
      <x:c r="C5" s="39" t="str">
        <x:v>Sync reliability &amp; repair</x:v>
      </x:c>
      <x:c r="D5" s="39" t="str">
        <x:v>Low setup / upkeep</x:v>
      </x:c>
      <x:c r="E5" s="39" t="str">
        <x:v>Safe-to-spend clarity</x:v>
      </x:c>
      <x:c r="F5" s="39" t="str">
        <x:v>Budgeting depth</x:v>
      </x:c>
      <x:c r="G5" s="39" t="str">
        <x:v>Recurring bills</x:v>
      </x:c>
      <x:c r="H5" s="39" t="str">
        <x:v>Categorization &amp; rules</x:v>
      </x:c>
      <x:c r="I5" s="39" t="str">
        <x:v>Shared household</x:v>
      </x:c>
      <x:c r="J5" s="39" t="str">
        <x:v>Multi-currency</x:v>
      </x:c>
      <x:c r="K5" s="39" t="str">
        <x:v>Portability &amp; recovery</x:v>
      </x:c>
      <x:c r="L5" s="39" t="str">
        <x:v>Cross-platform</x:v>
      </x:c>
      <x:c r="M5" s="39" t="str">
        <x:v>Price / value</x:v>
      </x:c>
      <x:c r="N5" s="39" t="str">
        <x:v>Privacy / trust</x:v>
      </x:c>
      <x:c r="O5" s="39" t="str">
        <x:v>Weighted fit</x:v>
      </x:c>
      <x:c r="P5" s="39" t="str">
        <x:v>Score rationale</x:v>
      </x:c>
      <x:c r="Q5" s="39" t="str">
        <x:v>Primary sources</x:v>
      </x:c>
    </x:row>
    <x:row r="6" ht="62" customHeight="1">
      <x:c r="A6" s="69" t="str">
        <x:v>Wollie</x:v>
      </x:c>
      <x:c r="B6" s="69" t="n">
        <x:v>2</x:v>
      </x:c>
      <x:c r="C6" s="69" t="n">
        <x:v>1</x:v>
      </x:c>
      <x:c r="D6" s="69" t="n">
        <x:v>3</x:v>
      </x:c>
      <x:c r="E6" s="69" t="n">
        <x:v>3</x:v>
      </x:c>
      <x:c r="F6" s="69" t="n">
        <x:v>1</x:v>
      </x:c>
      <x:c r="G6" s="69" t="n">
        <x:v>3</x:v>
      </x:c>
      <x:c r="H6" s="69" t="n">
        <x:v>1</x:v>
      </x:c>
      <x:c r="I6" s="69" t="n">
        <x:v>0</x:v>
      </x:c>
      <x:c r="J6" s="69" t="n">
        <x:v>0</x:v>
      </x:c>
      <x:c r="K6" s="69" t="n">
        <x:v>2</x:v>
      </x:c>
      <x:c r="L6" s="69" t="n">
        <x:v>1</x:v>
      </x:c>
      <x:c r="M6" s="69" t="n">
        <x:v>2</x:v>
      </x:c>
      <x:c r="N6" s="69" t="n">
        <x:v>3</x:v>
      </x:c>
      <x:c r="O6" s="72" t="n">
        <x:f>SUMPRODUCT(B6:N6,$B$3:$N$3)/(3*SUM($B$3:$N$3))</x:f>
        <x:v>0.5633333333333334</x:v>
      </x:c>
      <x:c r="P6" s="69" t="str">
        <x:v>Strong core promise and review workflow; live-sync breadth and household support remain unproven.</x:v>
      </x:c>
      <x:c r="Q6" s="69" t="str">
        <x:v>/Users/liya/Projects/wollie/src/routes/app/index.tsx | /Users/liya/Projects/wollie/src/routes/app/accounts.tsx</x:v>
      </x:c>
    </x:row>
    <x:row r="7" ht="62" customHeight="1">
      <x:c r="A7" s="70" t="str">
        <x:v>Wallet</x:v>
      </x:c>
      <x:c r="B7" s="70" t="n">
        <x:v>3</x:v>
      </x:c>
      <x:c r="C7" s="70" t="n">
        <x:v>1</x:v>
      </x:c>
      <x:c r="D7" s="70" t="n">
        <x:v>2</x:v>
      </x:c>
      <x:c r="E7" s="70" t="n">
        <x:v>1</x:v>
      </x:c>
      <x:c r="F7" s="70" t="n">
        <x:v>2</x:v>
      </x:c>
      <x:c r="G7" s="70" t="n">
        <x:v>2</x:v>
      </x:c>
      <x:c r="H7" s="70" t="n">
        <x:v>1</x:v>
      </x:c>
      <x:c r="I7" s="70" t="n">
        <x:v>1</x:v>
      </x:c>
      <x:c r="J7" s="70" t="n">
        <x:v>3</x:v>
      </x:c>
      <x:c r="K7" s="70" t="n">
        <x:v>1</x:v>
      </x:c>
      <x:c r="L7" s="70" t="n">
        <x:v>3</x:v>
      </x:c>
      <x:c r="M7" s="70" t="n">
        <x:v>3</x:v>
      </x:c>
      <x:c r="N7" s="70" t="n">
        <x:v>3</x:v>
      </x:c>
      <x:c r="O7" s="73" t="n">
        <x:f>SUMPRODUCT(B7:N7,$B$3:$N$3)/(3*SUM($B$3:$N$3))</x:f>
        <x:v>0.5966666666666667</x:v>
      </x:c>
      <x:c r="P7" s="70" t="str">
        <x:v>Scale and breadth lead, but Reddit evidence repeatedly questions sync repair, support, categories and restoration.</x:v>
      </x:c>
      <x:c r="Q7" s="70" t="str">
        <x:v>https://budgetbakers.com/en/products/wallet/</x:v>
      </x:c>
    </x:row>
    <x:row r="8" ht="62" customHeight="1">
      <x:c r="A8" s="70" t="str">
        <x:v>Bilance</x:v>
      </x:c>
      <x:c r="B8" s="70" t="n">
        <x:v>3</x:v>
      </x:c>
      <x:c r="C8" s="70" t="n">
        <x:v>3</x:v>
      </x:c>
      <x:c r="D8" s="70" t="n">
        <x:v>3</x:v>
      </x:c>
      <x:c r="E8" s="70" t="n">
        <x:v>1</x:v>
      </x:c>
      <x:c r="F8" s="70" t="n">
        <x:v>2</x:v>
      </x:c>
      <x:c r="G8" s="70" t="n">
        <x:v>3</x:v>
      </x:c>
      <x:c r="H8" s="70" t="n">
        <x:v>3</x:v>
      </x:c>
      <x:c r="I8" s="70" t="n">
        <x:v>0</x:v>
      </x:c>
      <x:c r="J8" s="70" t="n">
        <x:v>2</x:v>
      </x:c>
      <x:c r="K8" s="70" t="n">
        <x:v>2</x:v>
      </x:c>
      <x:c r="L8" s="70" t="n">
        <x:v>2</x:v>
      </x:c>
      <x:c r="M8" s="70" t="n">
        <x:v>2</x:v>
      </x:c>
      <x:c r="N8" s="70" t="n">
        <x:v>2</x:v>
      </x:c>
      <x:c r="O8" s="73" t="n">
        <x:f>SUMPRODUCT(B8:N8,$B$3:$N$3)/(3*SUM($B$3:$N$3))</x:f>
        <x:v>0.7266666666666667</x:v>
      </x:c>
      <x:c r="P8" s="70" t="str">
        <x:v>Closest current EU UX threat; modern automation but weak true household accounting.</x:v>
      </x:c>
      <x:c r="Q8" s="70" t="str">
        <x:v>https://www.bilanceapp.com/</x:v>
      </x:c>
    </x:row>
    <x:row r="9" ht="62" customHeight="1">
      <x:c r="A9" s="70" t="str">
        <x:v>YNAB</x:v>
      </x:c>
      <x:c r="B9" s="70" t="n">
        <x:v>2</x:v>
      </x:c>
      <x:c r="C9" s="70" t="n">
        <x:v>1</x:v>
      </x:c>
      <x:c r="D9" s="70" t="n">
        <x:v>0</x:v>
      </x:c>
      <x:c r="E9" s="70" t="n">
        <x:v>2</x:v>
      </x:c>
      <x:c r="F9" s="70" t="n">
        <x:v>3</x:v>
      </x:c>
      <x:c r="G9" s="70" t="n">
        <x:v>2</x:v>
      </x:c>
      <x:c r="H9" s="70" t="n">
        <x:v>2</x:v>
      </x:c>
      <x:c r="I9" s="70" t="n">
        <x:v>3</x:v>
      </x:c>
      <x:c r="J9" s="70" t="n">
        <x:v>1</x:v>
      </x:c>
      <x:c r="K9" s="70" t="n">
        <x:v>2</x:v>
      </x:c>
      <x:c r="L9" s="70" t="n">
        <x:v>3</x:v>
      </x:c>
      <x:c r="M9" s="70" t="n">
        <x:v>1</x:v>
      </x:c>
      <x:c r="N9" s="70" t="n">
        <x:v>3</x:v>
      </x:c>
      <x:c r="O9" s="73" t="n">
        <x:f>SUMPRODUCT(B9:N9,$B$3:$N$3)/(3*SUM($B$3:$N$3))</x:f>
        <x:v>0.6133333333333333</x:v>
      </x:c>
      <x:c r="P9" s="70" t="str">
        <x:v>Method moat and sharing are excellent; complexity, price and import friction conflict with Wollie ICP.</x:v>
      </x:c>
      <x:c r="Q9" s="70" t="str">
        <x:v>https://www.ynab.com/pricing</x:v>
      </x:c>
    </x:row>
    <x:row r="10" ht="62" customHeight="1">
      <x:c r="A10" s="70" t="str">
        <x:v>Spendee</x:v>
      </x:c>
      <x:c r="B10" s="70" t="n">
        <x:v>3</x:v>
      </x:c>
      <x:c r="C10" s="70" t="n">
        <x:v>2</x:v>
      </x:c>
      <x:c r="D10" s="70" t="n">
        <x:v>2</x:v>
      </x:c>
      <x:c r="E10" s="70" t="n">
        <x:v>1</x:v>
      </x:c>
      <x:c r="F10" s="70" t="n">
        <x:v>2</x:v>
      </x:c>
      <x:c r="G10" s="70" t="n">
        <x:v>2</x:v>
      </x:c>
      <x:c r="H10" s="70" t="n">
        <x:v>1</x:v>
      </x:c>
      <x:c r="I10" s="70" t="n">
        <x:v>1</x:v>
      </x:c>
      <x:c r="J10" s="70" t="n">
        <x:v>2</x:v>
      </x:c>
      <x:c r="K10" s="70" t="n">
        <x:v>2</x:v>
      </x:c>
      <x:c r="L10" s="70" t="n">
        <x:v>3</x:v>
      </x:c>
      <x:c r="M10" s="70" t="n">
        <x:v>3</x:v>
      </x:c>
      <x:c r="N10" s="70" t="n">
        <x:v>2</x:v>
      </x:c>
      <x:c r="O10" s="73" t="n">
        <x:f>SUMPRODUCT(B10:N10,$B$3:$N$3)/(3*SUM($B$3:$N$3))</x:f>
        <x:v>0.63</x:v>
      </x:c>
      <x:c r="P10" s="70" t="str">
        <x:v>Good-value broad tracker; collaboration and learning automation are incomplete.</x:v>
      </x:c>
      <x:c r="Q10" s="70" t="str">
        <x:v>https://www.spendee.com/pricing</x:v>
      </x:c>
    </x:row>
    <x:row r="11" ht="62" customHeight="1">
      <x:c r="A11" s="70" t="str">
        <x:v>MoneyWiz</x:v>
      </x:c>
      <x:c r="B11" s="70" t="n">
        <x:v>3</x:v>
      </x:c>
      <x:c r="C11" s="70" t="n">
        <x:v>2</x:v>
      </x:c>
      <x:c r="D11" s="70" t="n">
        <x:v>1</x:v>
      </x:c>
      <x:c r="E11" s="70" t="n">
        <x:v>1</x:v>
      </x:c>
      <x:c r="F11" s="70" t="n">
        <x:v>3</x:v>
      </x:c>
      <x:c r="G11" s="70" t="n">
        <x:v>3</x:v>
      </x:c>
      <x:c r="H11" s="70" t="n">
        <x:v>3</x:v>
      </x:c>
      <x:c r="I11" s="70" t="n">
        <x:v>1</x:v>
      </x:c>
      <x:c r="J11" s="70" t="n">
        <x:v>3</x:v>
      </x:c>
      <x:c r="K11" s="70" t="n">
        <x:v>3</x:v>
      </x:c>
      <x:c r="L11" s="70" t="n">
        <x:v>1</x:v>
      </x:c>
      <x:c r="M11" s="70" t="n">
        <x:v>3</x:v>
      </x:c>
      <x:c r="N11" s="70" t="n">
        <x:v>3</x:v>
      </x:c>
      <x:c r="O11" s="73" t="n">
        <x:f>SUMPRODUCT(B11:N11,$B$3:$N$3)/(3*SUM($B$3:$N$3))</x:f>
        <x:v>0.7166666666666667</x:v>
      </x:c>
      <x:c r="P11" s="70" t="str">
        <x:v>Powerful and broad but Apple-only and dense.</x:v>
      </x:c>
      <x:c r="Q11" s="70" t="str">
        <x:v>https://www.wiz.money/</x:v>
      </x:c>
    </x:row>
    <x:row r="12" ht="62" customHeight="1">
      <x:c r="A12" s="70" t="str">
        <x:v>PocketSmith</x:v>
      </x:c>
      <x:c r="B12" s="70" t="n">
        <x:v>3</x:v>
      </x:c>
      <x:c r="C12" s="70" t="n">
        <x:v>2</x:v>
      </x:c>
      <x:c r="D12" s="70" t="n">
        <x:v>1</x:v>
      </x:c>
      <x:c r="E12" s="70" t="n">
        <x:v>3</x:v>
      </x:c>
      <x:c r="F12" s="70" t="n">
        <x:v>3</x:v>
      </x:c>
      <x:c r="G12" s="70" t="n">
        <x:v>3</x:v>
      </x:c>
      <x:c r="H12" s="70" t="n">
        <x:v>3</x:v>
      </x:c>
      <x:c r="I12" s="70" t="n">
        <x:v>2</x:v>
      </x:c>
      <x:c r="J12" s="70" t="n">
        <x:v>3</x:v>
      </x:c>
      <x:c r="K12" s="70" t="n">
        <x:v>3</x:v>
      </x:c>
      <x:c r="L12" s="70" t="n">
        <x:v>3</x:v>
      </x:c>
      <x:c r="M12" s="70" t="n">
        <x:v>1</x:v>
      </x:c>
      <x:c r="N12" s="70" t="n">
        <x:v>3</x:v>
      </x:c>
      <x:c r="O12" s="73" t="n">
        <x:f>SUMPRODUCT(B12:N12,$B$3:$N$3)/(3*SUM($B$3:$N$3))</x:f>
        <x:v>0.8366666666666667</x:v>
      </x:c>
      <x:c r="P12" s="70" t="str">
        <x:v>Most complete planning benchmark and already owns Safe Balance; premium complexity leaves a simpler wedge.</x:v>
      </x:c>
      <x:c r="Q12" s="70" t="str">
        <x:v>https://www.pocketsmith.com/pricing/</x:v>
      </x:c>
    </x:row>
    <x:row r="13" ht="62" customHeight="1">
      <x:c r="A13" s="70" t="str">
        <x:v>Actual Budget</x:v>
      </x:c>
      <x:c r="B13" s="70" t="n">
        <x:v>2</x:v>
      </x:c>
      <x:c r="C13" s="70" t="n">
        <x:v>1</x:v>
      </x:c>
      <x:c r="D13" s="70" t="n">
        <x:v>0</x:v>
      </x:c>
      <x:c r="E13" s="70" t="n">
        <x:v>2</x:v>
      </x:c>
      <x:c r="F13" s="70" t="n">
        <x:v>3</x:v>
      </x:c>
      <x:c r="G13" s="70" t="n">
        <x:v>2</x:v>
      </x:c>
      <x:c r="H13" s="70" t="n">
        <x:v>3</x:v>
      </x:c>
      <x:c r="I13" s="70" t="n">
        <x:v>1</x:v>
      </x:c>
      <x:c r="J13" s="70" t="n">
        <x:v>1</x:v>
      </x:c>
      <x:c r="K13" s="70" t="n">
        <x:v>3</x:v>
      </x:c>
      <x:c r="L13" s="70" t="n">
        <x:v>2</x:v>
      </x:c>
      <x:c r="M13" s="70" t="n">
        <x:v>3</x:v>
      </x:c>
      <x:c r="N13" s="70" t="n">
        <x:v>3</x:v>
      </x:c>
      <x:c r="O13" s="73" t="n">
        <x:f>SUMPRODUCT(B13:N13,$B$3:$N$3)/(3*SUM($B$3:$N$3))</x:f>
        <x:v>0.5966666666666667</x:v>
      </x:c>
      <x:c r="P13" s="70" t="str">
        <x:v>Strong ownership and envelope depth; self-hosting and sync setup are the tax.</x:v>
      </x:c>
      <x:c r="Q13" s="70" t="str">
        <x:v>https://actualbudget.org/docs/advanced/bank-sync/</x:v>
      </x:c>
    </x:row>
    <x:row r="14" ht="62" customHeight="1">
      <x:c r="A14" s="70" t="str">
        <x:v>Snoop</x:v>
      </x:c>
      <x:c r="B14" s="70" t="n">
        <x:v>1</x:v>
      </x:c>
      <x:c r="C14" s="70" t="n">
        <x:v>2</x:v>
      </x:c>
      <x:c r="D14" s="70" t="n">
        <x:v>3</x:v>
      </x:c>
      <x:c r="E14" s="70" t="n">
        <x:v>1</x:v>
      </x:c>
      <x:c r="F14" s="70" t="n">
        <x:v>1</x:v>
      </x:c>
      <x:c r="G14" s="70" t="n">
        <x:v>3</x:v>
      </x:c>
      <x:c r="H14" s="70" t="n">
        <x:v>2</x:v>
      </x:c>
      <x:c r="I14" s="70" t="n">
        <x:v>1</x:v>
      </x:c>
      <x:c r="J14" s="70" t="n">
        <x:v>0</x:v>
      </x:c>
      <x:c r="K14" s="70" t="n">
        <x:v>2</x:v>
      </x:c>
      <x:c r="L14" s="70" t="n">
        <x:v>1</x:v>
      </x:c>
      <x:c r="M14" s="70" t="n">
        <x:v>3</x:v>
      </x:c>
      <x:c r="N14" s="70" t="n">
        <x:v>2</x:v>
      </x:c>
      <x:c r="O14" s="73" t="n">
        <x:f>SUMPRODUCT(B14:N14,$B$3:$N$3)/(3*SUM($B$3:$N$3))</x:f>
        <x:v>0.5466666666666666</x:v>
      </x:c>
      <x:c r="P14" s="70" t="str">
        <x:v>Great low-friction benchmark, but UK-only and mobile-only.</x:v>
      </x:c>
      <x:c r="Q14" s="70" t="str">
        <x:v>https://test.snoop.app/plus/</x:v>
      </x:c>
    </x:row>
    <x:row r="15" ht="62" customHeight="1">
      <x:c r="A15" s="71" t="str">
        <x:v>Emma</x:v>
      </x:c>
      <x:c r="B15" s="71" t="n">
        <x:v>1</x:v>
      </x:c>
      <x:c r="C15" s="71" t="n">
        <x:v>2</x:v>
      </x:c>
      <x:c r="D15" s="71" t="n">
        <x:v>3</x:v>
      </x:c>
      <x:c r="E15" s="71" t="n">
        <x:v>1</x:v>
      </x:c>
      <x:c r="F15" s="71" t="n">
        <x:v>1</x:v>
      </x:c>
      <x:c r="G15" s="71" t="n">
        <x:v>3</x:v>
      </x:c>
      <x:c r="H15" s="71" t="n">
        <x:v>2</x:v>
      </x:c>
      <x:c r="I15" s="71" t="n">
        <x:v>1</x:v>
      </x:c>
      <x:c r="J15" s="71" t="n">
        <x:v>0</x:v>
      </x:c>
      <x:c r="K15" s="71" t="n">
        <x:v>2</x:v>
      </x:c>
      <x:c r="L15" s="71" t="n">
        <x:v>3</x:v>
      </x:c>
      <x:c r="M15" s="71" t="n">
        <x:v>1</x:v>
      </x:c>
      <x:c r="N15" s="71" t="n">
        <x:v>2</x:v>
      </x:c>
      <x:c r="O15" s="74" t="n">
        <x:f>SUMPRODUCT(B15:N15,$B$3:$N$3)/(3*SUM($B$3:$N$3))</x:f>
        <x:v>0.5533333333333333</x:v>
      </x:c>
      <x:c r="P15" s="71" t="str">
        <x:v>Polished mainstream UX but unavailable for continental EU banks.</x:v>
      </x:c>
      <x:c r="Q15" s="71" t="str">
        <x:v>https://help.emma-app.com/en/article/i-can-see-the-wrong-countrys-banks-ukuscanada-15k3f29/</x:v>
      </x:c>
    </x:row>
  </x:sheetData>
  <x:mergeCells>
    <x:mergeCell ref="A1:Q1"/>
    <x:mergeCell ref="A2:Q2"/>
  </x:mergeCells>
  <x:conditionalFormatting sqref="B6:N15">
    <x:cfRule type="colorScale" priority="1">
      <x:colorScale>
        <x:cfvo type="min"/>
        <x:cfvo type="percentile" val="50"/>
        <x:cfvo type="max"/>
        <x:color rgb="FFFFE3E3"/>
        <x:color rgb="FFFFF3BF"/>
        <x:color rgb="FFD3F9D8"/>
      </x:colorScale>
    </x:cfRule>
  </x:conditionalFormatting>
  <x:conditionalFormatting sqref="O6:O15">
    <x:cfRule type="dataBar" priority="2">
      <x:dataBar>
        <x:cfvo type="min"/>
        <x:cfvo type="max"/>
        <x:color rgb="FF087F5B"/>
      </x:dataBar>
      <x:extLst>
        <x:ext xmlns:x14="http://schemas.microsoft.com/office/spreadsheetml/2009/9/main" uri="{B025F937-C7B1-47D3-B67F-A62EFF666E3E}">
          <x14:id>{CC6745DC-63D7-E148-5DD3-DAAB50663766}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187bddd0a114a3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C6745DC-63D7-E148-5DD3-DAAB50663766}">
            <x14:dataBar gradient="1">
              <x14:cfvo type="min"/>
              <x14:cfvo type="max"/>
              <x14:fillColor rgb="FF087F5B"/>
            </x14:dataBar>
          </x14:cfRule>
          <xm:sqref>O6:O15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6" hidden="0" customWidth="1"/>
    <x:col min="4" max="4" width="48" hidden="0" customWidth="1"/>
    <x:col min="5" max="5" width="30" hidden="0" customWidth="1"/>
    <x:col min="6" max="6" width="40" hidden="0" customWidth="1"/>
    <x:col min="7" max="7" width="44" hidden="0" customWidth="1"/>
    <x:col min="8" max="8" width="15" hidden="0" customWidth="1"/>
    <x:col min="9" max="9" width="38" hidden="0" customWidth="1"/>
    <x:col min="10" max="10" width="48" hidden="0" customWidth="1"/>
  </x:cols>
  <x:sheetData>
    <x:row r="1" ht="34" customHeight="1">
      <x:c r="A1" s="89" t="str">
        <x:v>Competitor profiles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Strategic profiles emphasize how each rival wins, where it breaks, and how Wollie should respond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2" customHeight="1">
      <x:c r="A5" s="41" t="str">
        <x:v>Competitor</x:v>
      </x:c>
      <x:c r="B5" s="41" t="str">
        <x:v>Positioning</x:v>
      </x:c>
      <x:c r="C5" s="41" t="str">
        <x:v>Core strengths</x:v>
      </x:c>
      <x:c r="D5" s="41" t="str">
        <x:v>Product weaknesses / gaps</x:v>
      </x:c>
      <x:c r="E5" s="41" t="str">
        <x:v>Business model / GTM</x:v>
      </x:c>
      <x:c r="F5" s="41" t="str">
        <x:v>Moat / switching cost</x:v>
      </x:c>
      <x:c r="G5" s="41" t="str">
        <x:v>Wollie response</x:v>
      </x:c>
      <x:c r="H5" s="41" t="str">
        <x:v>Threat</x:v>
      </x:c>
      <x:c r="I5" s="41" t="str">
        <x:v>12–18 month watch</x:v>
      </x:c>
      <x:c r="J5" s="41" t="str">
        <x:v>Primary source</x:v>
      </x:c>
    </x:row>
    <x:row r="6" ht="82" customHeight="1">
      <x:c r="A6" s="45" t="str">
        <x:v>Wallet by BudgetBakers</x:v>
      </x:c>
      <x:c r="B6" s="45" t="str">
        <x:v>Scale PFM / broad automation</x:v>
      </x:c>
      <x:c r="C6" s="45" t="str">
        <x:v>Coverage, imports, multi-currency, planned payments, API direction, lifetime value</x:v>
      </x:c>
      <x:c r="D6" s="45" t="str">
        <x:v>Sync reliability, support, rigid categories, restore weakness</x:v>
      </x:c>
      <x:c r="E6" s="45" t="str">
        <x:v>Subscription plus lifetime; global app stores</x:v>
      </x:c>
      <x:c r="F6" s="45" t="str">
        <x:v>High switching cost from historical data; 500K+ paying; PSD2 license</x:v>
      </x:c>
      <x:c r="G6" s="45" t="str">
        <x:v>Beat on trust, repair and household logic—not breadth</x:v>
      </x:c>
      <x:c r="H6" s="45" t="str">
        <x:v>Very high</x:v>
      </x:c>
      <x:c r="I6" s="45" t="str">
        <x:v>Watch 2026 API/MCP and ShareCost integration</x:v>
      </x:c>
      <x:c r="J6" s="45" t="str">
        <x:v>https://budgetbakers.com/en/about-us/</x:v>
      </x:c>
    </x:row>
    <x:row r="7" ht="82" customHeight="1">
      <x:c r="A7" s="45" t="str">
        <x:v>Bilance</x:v>
      </x:c>
      <x:c r="B7" s="45" t="str">
        <x:v>Modern EU money app</x:v>
      </x:c>
      <x:c r="C7" s="45" t="str">
        <x:v>Merchant cleanup, recurring detection, modern UI, bulk similar edits, EU sync</x:v>
      </x:c>
      <x:c r="D7" s="45" t="str">
        <x:v>Joint account ownership model missing; subscription cost; less platform breadth</x:v>
      </x:c>
      <x:c r="E7" s="45" t="str">
        <x:v>Paid-only mobile subscription</x:v>
      </x:c>
      <x:c r="F7" s="45" t="str">
        <x:v>100K+ users; fast product velocity; EU-first brand</x:v>
      </x:c>
      <x:c r="G7" s="45" t="str">
        <x:v>Ship household mode before Bilance; match transaction cleanup quality</x:v>
      </x:c>
      <x:c r="H7" s="45" t="str">
        <x:v>Very high</x:v>
      </x:c>
      <x:c r="I7" s="45" t="str">
        <x:v>Likely to add shared finances; closest wedge collision</x:v>
      </x:c>
      <x:c r="J7" s="45" t="str">
        <x:v>https://www.bilanceapp.com/</x:v>
      </x:c>
    </x:row>
    <x:row r="8" ht="82" customHeight="1">
      <x:c r="A8" s="45" t="str">
        <x:v>YNAB</x:v>
      </x:c>
      <x:c r="B8" s="45" t="str">
        <x:v>Method + education ecosystem</x:v>
      </x:c>
      <x:c r="C8" s="45" t="str">
        <x:v>Proven behavior change, community, support, goals, household sharing</x:v>
      </x:c>
      <x:c r="D8" s="45" t="str">
        <x:v>Learning curve, upkeep, price, import frustration and UI churn</x:v>
      </x:c>
      <x:c r="E8" s="45" t="str">
        <x:v>Single premium subscription; education-led acquisition</x:v>
      </x:c>
      <x:c r="F8" s="45" t="str">
        <x:v>Methodology and community create retention beyond features</x:v>
      </x:c>
      <x:c r="G8" s="45" t="str">
        <x:v>Target people who reject the method but still want control</x:v>
      </x:c>
      <x:c r="H8" s="45" t="str">
        <x:v>High</x:v>
      </x:c>
      <x:c r="I8" s="45" t="str">
        <x:v>Could simplify onboarding or improve EU imports</x:v>
      </x:c>
      <x:c r="J8" s="45" t="str">
        <x:v>https://www.ynab.com/pricing</x:v>
      </x:c>
    </x:row>
    <x:row r="9" ht="82" customHeight="1">
      <x:c r="A9" s="45" t="str">
        <x:v>Spendee</x:v>
      </x:c>
      <x:c r="B9" s="45" t="str">
        <x:v>Affordable tracker and shared wallets</x:v>
      </x:c>
      <x:c r="C9" s="45" t="str">
        <x:v>Price, visual design, provider breadth, imports/exports</x:v>
      </x:c>
      <x:c r="D9" s="45" t="str">
        <x:v>Learning categories, shared bank wallet and shared budget limitations</x:v>
      </x:c>
      <x:c r="E9" s="45" t="str">
        <x:v>Freemium + low-priced Premium</x:v>
      </x:c>
      <x:c r="F9" s="45" t="str">
        <x:v>Hundreds of thousands; broad country presence</x:v>
      </x:c>
      <x:c r="G9" s="45" t="str">
        <x:v>Offer more trustworthy automation and true household economics</x:v>
      </x:c>
      <x:c r="H9" s="45" t="str">
        <x:v>High</x:v>
      </x:c>
      <x:c r="I9" s="45" t="str">
        <x:v>Could close shared-bank gap cheaply</x:v>
      </x:c>
      <x:c r="J9" s="45" t="str">
        <x:v>https://www.spendee.com/pricing</x:v>
      </x:c>
    </x:row>
    <x:row r="10" ht="82" customHeight="1">
      <x:c r="A10" s="45" t="str">
        <x:v>MoneyWiz</x:v>
      </x:c>
      <x:c r="B10" s="45" t="str">
        <x:v>Feature-rich Apple personal accounting</x:v>
      </x:c>
      <x:c r="C10" s="45" t="str">
        <x:v>Multi-provider sync, investments, reports, imports, multi-currency, offline</x:v>
      </x:c>
      <x:c r="D10" s="45" t="str">
        <x:v>Apple-only and cognitively dense</x:v>
      </x:c>
      <x:c r="E10" s="45" t="str">
        <x:v>Standard and Premium subscriptions</x:v>
      </x:c>
      <x:c r="F10" s="45" t="str">
        <x:v>Long operating history and 40K+ bank claim</x:v>
      </x:c>
      <x:c r="G10" s="45" t="str">
        <x:v>Stay narrower and calmer; avoid power-user arms race</x:v>
      </x:c>
      <x:c r="H10" s="45" t="str">
        <x:v>Medium-high</x:v>
      </x:c>
      <x:c r="I10" s="45" t="str">
        <x:v>Cross-platform expansion would raise threat</x:v>
      </x:c>
      <x:c r="J10" s="45" t="str">
        <x:v>https://www.wiz.money/</x:v>
      </x:c>
    </x:row>
    <x:row r="11" ht="82" customHeight="1">
      <x:c r="A11" s="45" t="str">
        <x:v>PocketSmith</x:v>
      </x:c>
      <x:c r="B11" s="45" t="str">
        <x:v>Forecasting and household CFO platform</x:v>
      </x:c>
      <x:c r="C11" s="45" t="str">
        <x:v>Safe Balance, 10–60 year forecasts, calendar, rules, currencies, collaborators</x:v>
      </x:c>
      <x:c r="D11" s="45" t="str">
        <x:v>Price, complexity, weaker mobile perception</x:v>
      </x:c>
      <x:c r="E11" s="45" t="str">
        <x:v>Tiered premium by feeds and forecast horizon</x:v>
      </x:c>
      <x:c r="F11" s="45" t="str">
        <x:v>Deep historical data and sophisticated workflows</x:v>
      </x:c>
      <x:c r="G11" s="45" t="str">
        <x:v>Make safe-to-spend immediate and approachable, not less capable by accident</x:v>
      </x:c>
      <x:c r="H11" s="45" t="str">
        <x:v>Medium-high</x:v>
      </x:c>
      <x:c r="I11" s="45" t="str">
        <x:v>Already validates safe-balance concept</x:v>
      </x:c>
      <x:c r="J11" s="45" t="str">
        <x:v>https://www.pocketsmith.com/pricing/</x:v>
      </x:c>
    </x:row>
    <x:row r="12" ht="82" customHeight="1">
      <x:c r="A12" s="45" t="str">
        <x:v>Actual Budget</x:v>
      </x:c>
      <x:c r="B12" s="45" t="str">
        <x:v>Open-source envelope budgeting</x:v>
      </x:c>
      <x:c r="C12" s="45" t="str">
        <x:v>Data ownership, E2EE, rules, API, migration, price</x:v>
      </x:c>
      <x:c r="D12" s="45" t="str">
        <x:v>Self-hosting, credentials, manual bank sync, provider ambiguity</x:v>
      </x:c>
      <x:c r="E12" s="45" t="str">
        <x:v>Free open source; hosting/provider ecosystem</x:v>
      </x:c>
      <x:c r="F12" s="45" t="str">
        <x:v>Community and data ownership create strong loyalty</x:v>
      </x:c>
      <x:c r="G12" s="45" t="str">
        <x:v>Use managed reliability and simplicity as the counter-position</x:v>
      </x:c>
      <x:c r="H12" s="45" t="str">
        <x:v>High in technical segment</x:v>
      </x:c>
      <x:c r="I12" s="45" t="str">
        <x:v>Now documents Enable Banking—the same EU provider class as Wollie</x:v>
      </x:c>
      <x:c r="J12" s="45" t="str">
        <x:v>https://actualbudget.org/docs/advanced/bank-sync/</x:v>
      </x:c>
    </x:row>
    <x:row r="13" ht="82" customHeight="1">
      <x:c r="A13" s="45" t="str">
        <x:v>Snoop</x:v>
      </x:c>
      <x:c r="B13" s="45" t="str">
        <x:v>UK tracking and savings assistant</x:v>
      </x:c>
      <x:c r="C13" s="45" t="str">
        <x:v>Low friction, free tier, payday analysis, alerts and subscriptions</x:v>
      </x:c>
      <x:c r="D13" s="45" t="str">
        <x:v>UK-only, mobile-only, shallow proactive budgeting</x:v>
      </x:c>
      <x:c r="E13" s="45" t="str">
        <x:v>Freemium + Plus</x:v>
      </x:c>
      <x:c r="F13" s="45" t="str">
        <x:v>Open Banking distribution and established UK brand</x:v>
      </x:c>
      <x:c r="G13" s="45" t="str">
        <x:v>Use as onboarding benchmark, not direct continental rival</x:v>
      </x:c>
      <x:c r="H13" s="45" t="str">
        <x:v>Low direct</x:v>
      </x:c>
      <x:c r="I13" s="45" t="str">
        <x:v>Could expand geography via owner resources</x:v>
      </x:c>
      <x:c r="J13" s="45" t="str">
        <x:v>https://test.snoop.app/plus/</x:v>
      </x:c>
    </x:row>
    <x:row r="14" ht="82" customHeight="1">
      <x:c r="A14" s="45" t="str">
        <x:v>Emma</x:v>
      </x:c>
      <x:c r="B14" s="45" t="str">
        <x:v>Mainstream finance super-app</x:v>
      </x:c>
      <x:c r="C14" s="45" t="str">
        <x:v>Polish, subscriptions, fraud tools, web/mobile, monetization breadth</x:v>
      </x:c>
      <x:c r="D14" s="45" t="str">
        <x:v>No continental EU coverage, tier maze, product clutter</x:v>
      </x:c>
      <x:c r="E14" s="45" t="str">
        <x:v>Freemium with three paid tiers</x:v>
      </x:c>
      <x:c r="F14" s="45" t="str">
        <x:v>Strong consumer brand in UK/US/Canada</x:v>
      </x:c>
      <x:c r="G14" s="45" t="str">
        <x:v>Contrast one calm purpose with super-app sprawl</x:v>
      </x:c>
      <x:c r="H14" s="45" t="str">
        <x:v>Low direct</x:v>
      </x:c>
      <x:c r="I14" s="45" t="str">
        <x:v>Geographic expansion would raise threat</x:v>
      </x:c>
      <x:c r="J14" s="45" t="str">
        <x:v>https://help.emma-app.com/en/article/i-can-see-the-wrong-countrys-banks-ukuscanada-15k3f29/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6d3d4e543be46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0" hidden="0" customWidth="1"/>
    <x:col min="4" max="4" width="22" hidden="0" customWidth="1"/>
    <x:col min="5" max="5" width="18" hidden="0" customWidth="1"/>
    <x:col min="6" max="6" width="30" hidden="0" customWidth="1"/>
    <x:col min="7" max="7" width="60" hidden="0" customWidth="1"/>
    <x:col min="8" max="8" width="58" hidden="0" customWidth="1"/>
    <x:col min="9" max="9" width="12" hidden="0" customWidth="1"/>
    <x:col min="10" max="10" width="10" hidden="0" customWidth="1"/>
    <x:col min="11" max="11" width="66" hidden="0" customWidth="1"/>
  </x:cols>
  <x:sheetData>
    <x:row r="1" ht="34" customHeight="1">
      <x:c r="A1" s="89" t="str">
        <x:v>Reddit evidence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Paraphrased public posts; not a representative survey. Upvotes are directional and were captured from search results where available.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2" customHeight="1">
      <x:c r="A5" s="41" t="str">
        <x:v>ID</x:v>
      </x:c>
      <x:c r="B5" s="41" t="str">
        <x:v>Date</x:v>
      </x:c>
      <x:c r="C5" s="41" t="str">
        <x:v>Subreddit</x:v>
      </x:c>
      <x:c r="D5" s="41" t="str">
        <x:v>Product / scope</x:v>
      </x:c>
      <x:c r="E5" s="41" t="str">
        <x:v>Signal type</x:v>
      </x:c>
      <x:c r="F5" s="41" t="str">
        <x:v>Pain theme</x:v>
      </x:c>
      <x:c r="G5" s="41" t="str">
        <x:v>User problem (paraphrased)</x:v>
      </x:c>
      <x:c r="H5" s="41" t="str">
        <x:v>Strategic implication</x:v>
      </x:c>
      <x:c r="I5" s="41" t="str">
        <x:v>Strength</x:v>
      </x:c>
      <x:c r="J5" s="41" t="str">
        <x:v>Upvotes</x:v>
      </x:c>
      <x:c r="K5" s="41" t="str">
        <x:v>Source URL</x:v>
      </x:c>
    </x:row>
    <x:row r="6" ht="70" customHeight="1">
      <x:c r="A6" s="53" t="n">
        <x:v>1</x:v>
      </x:c>
      <x:c r="B6" s="75" t="n">
        <x:v>46189.5</x:v>
      </x:c>
      <x:c r="C6" s="45" t="str">
        <x:v>r/ynab</x:v>
      </x:c>
      <x:c r="D6" s="45" t="str">
        <x:v>YNAB</x:v>
      </x:c>
      <x:c r="E6" s="45" t="str">
        <x:v>Complaint</x:v>
      </x:c>
      <x:c r="F6" s="45" t="str">
        <x:v>Bank sync reliability &amp; freshness</x:v>
      </x:c>
      <x:c r="G6" s="45" t="str">
        <x:v>Pending and posted transactions appeared as duplicates; imports lagged more than two days.</x:v>
      </x:c>
      <x:c r="H6" s="45" t="str">
        <x:v>A safe-to-spend number is dangerous when source data is stale or duplicated.</x:v>
      </x:c>
      <x:c r="I6" s="45" t="str">
        <x:v>High</x:v>
      </x:c>
      <x:c r="J6" s="76" t="n">
        <x:v>0</x:v>
      </x:c>
      <x:c r="K6" s="45" t="str">
        <x:v>https://www.reddit.com/r/ynab/comments/1u76q1l/duplicate_imported_transactions_happening_for_a/</x:v>
      </x:c>
    </x:row>
    <x:row r="7" ht="70" customHeight="1">
      <x:c r="A7" s="53" t="n">
        <x:v>2</x:v>
      </x:c>
      <x:c r="B7" s="75" t="n">
        <x:v>45695.5</x:v>
      </x:c>
      <x:c r="C7" s="45" t="str">
        <x:v>r/ynab</x:v>
      </x:c>
      <x:c r="D7" s="45" t="str">
        <x:v>YNAB</x:v>
      </x:c>
      <x:c r="E7" s="45" t="str">
        <x:v>Complaint</x:v>
      </x:c>
      <x:c r="F7" s="45" t="str">
        <x:v>Pricing &amp; value fairness</x:v>
      </x:c>
      <x:c r="G7" s="45" t="str">
        <x:v>Long-time international user left after price increases while automatic sync remained unusable.</x:v>
      </x:c>
      <x:c r="H7" s="45" t="str">
        <x:v>Regional value mismatch creates an opening for transparent EU pricing.</x:v>
      </x:c>
      <x:c r="I7" s="45" t="str">
        <x:v>High</x:v>
      </x:c>
      <x:c r="J7" s="76" t="n">
        <x:v>570</x:v>
      </x:c>
      <x:c r="K7" s="45" t="str">
        <x:v>https://www.reddit.com/r/ynab/comments/1ijv9ve/leaving_ynab_after_6_years_pricing_is_the_final/</x:v>
      </x:c>
    </x:row>
    <x:row r="8" ht="70" customHeight="1">
      <x:c r="A8" s="53" t="n">
        <x:v>3</x:v>
      </x:c>
      <x:c r="B8" s="75" t="n">
        <x:v>46095.5</x:v>
      </x:c>
      <x:c r="C8" s="45" t="str">
        <x:v>r/ynab</x:v>
      </x:c>
      <x:c r="D8" s="45" t="str">
        <x:v>YNAB</x:v>
      </x:c>
      <x:c r="E8" s="45" t="str">
        <x:v>Complaint</x:v>
      </x:c>
      <x:c r="F8" s="45" t="str">
        <x:v>Complexity &amp; maintenance</x:v>
      </x:c>
      <x:c r="G8" s="45" t="str">
        <x:v>User found $109 steep, reauthorized accounts weekly and felt proper upkeep was too much work.</x:v>
      </x:c>
      <x:c r="H8" s="45" t="str">
        <x:v>Wollie should reduce maintenance, not merely simplify visuals.</x:v>
      </x:c>
      <x:c r="I8" s="45" t="str">
        <x:v>High</x:v>
      </x:c>
      <x:c r="J8" s="76" t="n">
        <x:v>36</x:v>
      </x:c>
      <x:c r="K8" s="45" t="str">
        <x:v>https://www.reddit.com/r/ynab/comments/1rtdn3s/my_1year_renewal_is_in_2_weeks_and_im_really/</x:v>
      </x:c>
    </x:row>
    <x:row r="9" ht="70" customHeight="1">
      <x:c r="A9" s="53" t="n">
        <x:v>4</x:v>
      </x:c>
      <x:c r="B9" s="75" t="n">
        <x:v>45750.5</x:v>
      </x:c>
      <x:c r="C9" s="45" t="str">
        <x:v>r/ynab</x:v>
      </x:c>
      <x:c r="D9" s="45" t="str">
        <x:v>YNAB</x:v>
      </x:c>
      <x:c r="E9" s="45" t="str">
        <x:v>Complaint</x:v>
      </x:c>
      <x:c r="F9" s="45" t="str">
        <x:v>Complexity &amp; maintenance</x:v>
      </x:c>
      <x:c r="G9" s="45" t="str">
        <x:v>Users describe hours of videos, separate web/mobile workflows and a multi-month learning curve.</x:v>
      </x:c>
      <x:c r="H9" s="45" t="str">
        <x:v>Bank-first onboarding should avoid teaching a budgeting doctrine.</x:v>
      </x:c>
      <x:c r="I9" s="45" t="str">
        <x:v>High</x:v>
      </x:c>
      <x:c r="J9" s="76" t="n">
        <x:v>21</x:v>
      </x:c>
      <x:c r="K9" s="45" t="str">
        <x:v>https://www.reddit.com/r/ynab/comments/1jqgwig/why_is_ynab_so_hard/</x:v>
      </x:c>
    </x:row>
    <x:row r="10" ht="70" customHeight="1">
      <x:c r="A10" s="53" t="n">
        <x:v>5</x:v>
      </x:c>
      <x:c r="B10" s="75" t="n">
        <x:v>46216.5</x:v>
      </x:c>
      <x:c r="C10" s="45" t="str">
        <x:v>r/ynab</x:v>
      </x:c>
      <x:c r="D10" s="45" t="str">
        <x:v>YNAB</x:v>
      </x:c>
      <x:c r="E10" s="45" t="str">
        <x:v>Complaint</x:v>
      </x:c>
      <x:c r="F10" s="45" t="str">
        <x:v>Mobile / web parity</x:v>
      </x:c>
      <x:c r="G10" s="45" t="str">
        <x:v>Frequent mobile UI changes added taps and terminology that diverged from web.</x:v>
      </x:c>
      <x:c r="H10" s="45" t="str">
        <x:v>Stable terminology and cross-device parity are trust features.</x:v>
      </x:c>
      <x:c r="I10" s="45" t="str">
        <x:v>High</x:v>
      </x:c>
      <x:c r="J10" s="76" t="n">
        <x:v>197</x:v>
      </x:c>
      <x:c r="K10" s="45" t="str">
        <x:v>https://www.reddit.com/r/ynab/comments/1uvq4ec/when_will_ynab_stop_needlessly_changing_the_ui/</x:v>
      </x:c>
    </x:row>
    <x:row r="11" ht="70" customHeight="1">
      <x:c r="A11" s="53" t="n">
        <x:v>6</x:v>
      </x:c>
      <x:c r="B11" s="75" t="n">
        <x:v>46081.5</x:v>
      </x:c>
      <x:c r="C11" s="45" t="str">
        <x:v>r/ynab</x:v>
      </x:c>
      <x:c r="D11" s="45" t="str">
        <x:v>YNAB</x:v>
      </x:c>
      <x:c r="E11" s="45" t="str">
        <x:v>Complaint</x:v>
      </x:c>
      <x:c r="F11" s="45" t="str">
        <x:v>Complexity &amp; maintenance</x:v>
      </x:c>
      <x:c r="G11" s="45" t="str">
        <x:v>Long-time users called the product noisy and less engaging as layers accumulated.</x:v>
      </x:c>
      <x:c r="H11" s="45" t="str">
        <x:v>Feature restraint can be a moat if paired with clear outcomes.</x:v>
      </x:c>
      <x:c r="I11" s="45" t="str">
        <x:v>High</x:v>
      </x:c>
      <x:c r="J11" s="76" t="n">
        <x:v>48</x:v>
      </x:c>
      <x:c r="K11" s="45" t="str">
        <x:v>https://www.reddit.com/r/ynab/comments/1rh6qnn/is_ynab_becoming_too_noisy/</x:v>
      </x:c>
    </x:row>
    <x:row r="12" ht="70" customHeight="1">
      <x:c r="A12" s="53" t="n">
        <x:v>7</x:v>
      </x:c>
      <x:c r="B12" s="75" t="n">
        <x:v>46027.5</x:v>
      </x:c>
      <x:c r="C12" s="45" t="str">
        <x:v>r/BudgetBakers</x:v>
      </x:c>
      <x:c r="D12" s="45" t="str">
        <x:v>Wallet</x:v>
      </x:c>
      <x:c r="E12" s="45" t="str">
        <x:v>Missing feature</x:v>
      </x:c>
      <x:c r="F12" s="45" t="str">
        <x:v>Categorization &amp; bulk correction</x:v>
      </x:c>
      <x:c r="G12" s="45" t="str">
        <x:v>Core categories cannot be fully replaced; renamed categories still match against old definitions.</x:v>
      </x:c>
      <x:c r="H12" s="45" t="str">
        <x:v>Transparent editable rules and bulk apply are table stakes.</x:v>
      </x:c>
      <x:c r="I12" s="45" t="str">
        <x:v>Medium</x:v>
      </x:c>
      <x:c r="J12" s="76" t="n">
        <x:v>6</x:v>
      </x:c>
      <x:c r="K12" s="45" t="str">
        <x:v>https://www.reddit.com/r/BudgetBakers/comments/1q46c1p/what_are_your_workarounds_about_the_fact_that/</x:v>
      </x:c>
    </x:row>
    <x:row r="13" ht="70" customHeight="1">
      <x:c r="A13" s="53" t="n">
        <x:v>8</x:v>
      </x:c>
      <x:c r="B13" s="75" t="n">
        <x:v>45874.5</x:v>
      </x:c>
      <x:c r="C13" s="45" t="str">
        <x:v>r/BudgetBakers</x:v>
      </x:c>
      <x:c r="D13" s="45" t="str">
        <x:v>Wallet</x:v>
      </x:c>
      <x:c r="E13" s="45" t="str">
        <x:v>Complaint</x:v>
      </x:c>
      <x:c r="F13" s="45" t="str">
        <x:v>Bank sync reliability &amp; freshness</x:v>
      </x:c>
      <x:c r="G13" s="45" t="str">
        <x:v>A Belgian ING account stopped syncing; reconnecting forced a year of recategorization.</x:v>
      </x:c>
      <x:c r="H13" s="45" t="str">
        <x:v>Repair must preserve history, categories and user trust.</x:v>
      </x:c>
      <x:c r="I13" s="45" t="str">
        <x:v>Medium</x:v>
      </x:c>
      <x:c r="J13" s="76" t="n">
        <x:v>1</x:v>
      </x:c>
      <x:c r="K13" s="45" t="str">
        <x:v>https://www.reddit.com/r/BudgetBakers/comments/1mi86nz/back_syncing_issues_in_wallet_app/</x:v>
      </x:c>
    </x:row>
    <x:row r="14" ht="70" customHeight="1">
      <x:c r="A14" s="53" t="n">
        <x:v>9</x:v>
      </x:c>
      <x:c r="B14" s="75" t="n">
        <x:v>46143.5</x:v>
      </x:c>
      <x:c r="C14" s="45" t="str">
        <x:v>r/BudgetBakers</x:v>
      </x:c>
      <x:c r="D14" s="45" t="str">
        <x:v>Wallet</x:v>
      </x:c>
      <x:c r="E14" s="45" t="str">
        <x:v>Complaint</x:v>
      </x:c>
      <x:c r="F14" s="45" t="str">
        <x:v>Data portability / recovery</x:v>
      </x:c>
      <x:c r="G14" s="45" t="str">
        <x:v>Deleted account had no recovery; exported data could not be fully restored with categories intact.</x:v>
      </x:c>
      <x:c r="H14" s="45" t="str">
        <x:v>A finance app needs reversible deletion and tested full-fidelity restore.</x:v>
      </x:c>
      <x:c r="I14" s="45" t="str">
        <x:v>High</x:v>
      </x:c>
      <x:c r="J14" s="76" t="n">
        <x:v>10</x:v>
      </x:c>
      <x:c r="K14" s="45" t="str">
        <x:v>https://www.reddit.com/r/BudgetBakers/comments/1t0dbof/wallet_by_budgetbakers_deleted_inapp_account/</x:v>
      </x:c>
    </x:row>
    <x:row r="15" ht="70" customHeight="1">
      <x:c r="A15" s="53" t="n">
        <x:v>10</x:v>
      </x:c>
      <x:c r="B15" s="75" t="n">
        <x:v>45770.5</x:v>
      </x:c>
      <x:c r="C15" s="45" t="str">
        <x:v>r/BudgetBakers</x:v>
      </x:c>
      <x:c r="D15" s="45" t="str">
        <x:v>Wallet</x:v>
      </x:c>
      <x:c r="E15" s="45" t="str">
        <x:v>Complaint</x:v>
      </x:c>
      <x:c r="F15" s="45" t="str">
        <x:v>Bank sync reliability &amp; freshness</x:v>
      </x:c>
      <x:c r="G15" s="45" t="str">
        <x:v>Long-time user reported errors, delays and lost transactions and began searching for alternatives.</x:v>
      </x:c>
      <x:c r="H15" s="45" t="str">
        <x:v>Reliability is the buying reason, not a backend detail.</x:v>
      </x:c>
      <x:c r="I15" s="45" t="str">
        <x:v>High</x:v>
      </x:c>
      <x:c r="J15" s="76" t="n">
        <x:v>14</x:v>
      </x:c>
      <x:c r="K15" s="45" t="str">
        <x:v>https://www.reddit.com/r/BudgetBakers/comments/1k5spt1/wallet_app_alternatives_sync_issues_driving_me/</x:v>
      </x:c>
    </x:row>
    <x:row r="16" ht="70" customHeight="1">
      <x:c r="A16" s="53" t="n">
        <x:v>11</x:v>
      </x:c>
      <x:c r="B16" s="75" t="n">
        <x:v>46003.5</x:v>
      </x:c>
      <x:c r="C16" s="45" t="str">
        <x:v>r/BudgetBakers</x:v>
      </x:c>
      <x:c r="D16" s="45" t="str">
        <x:v>Wallet</x:v>
      </x:c>
      <x:c r="E16" s="45" t="str">
        <x:v>Complaint</x:v>
      </x:c>
      <x:c r="F16" s="45" t="str">
        <x:v>Bank sync reliability &amp; freshness</x:v>
      </x:c>
      <x:c r="G16" s="45" t="str">
        <x:v>Multiple banks stopped syncing after updates; reconnect attempts failed.</x:v>
      </x:c>
      <x:c r="H16" s="45" t="str">
        <x:v>Expose provider status, freshness, retry and safe fallback clearly.</x:v>
      </x:c>
      <x:c r="I16" s="45" t="str">
        <x:v>Medium</x:v>
      </x:c>
      <x:c r="J16" s="76" t="n">
        <x:v>5</x:v>
      </x:c>
      <x:c r="K16" s="45" t="str">
        <x:v>https://www.reddit.com/r/BudgetBakers/comments/1pkmd4u/bank_sync_not_working/</x:v>
      </x:c>
    </x:row>
    <x:row r="17" ht="70" customHeight="1">
      <x:c r="A17" s="53" t="n">
        <x:v>12</x:v>
      </x:c>
      <x:c r="B17" s="75" t="n">
        <x:v>46003.5</x:v>
      </x:c>
      <x:c r="C17" s="45" t="str">
        <x:v>r/BudgetBakers</x:v>
      </x:c>
      <x:c r="D17" s="45" t="str">
        <x:v>Wallet</x:v>
      </x:c>
      <x:c r="E17" s="45" t="str">
        <x:v>Complaint</x:v>
      </x:c>
      <x:c r="F17" s="45" t="str">
        <x:v>Vendor continuity &amp; support</x:v>
      </x:c>
      <x:c r="G17" s="45" t="str">
        <x:v>Users described slow support and fear of losing transaction history during a sync incident.</x:v>
      </x:c>
      <x:c r="H17" s="45" t="str">
        <x:v>Visible service status and a recovery guarantee can differentiate.</x:v>
      </x:c>
      <x:c r="I17" s="45" t="str">
        <x:v>High</x:v>
      </x:c>
      <x:c r="J17" s="76" t="n">
        <x:v>12</x:v>
      </x:c>
      <x:c r="K17" s="45" t="str">
        <x:v>https://www.reddit.com/r/BudgetBakers/comments/1pkq3ht/banks_not_updating/</x:v>
      </x:c>
    </x:row>
    <x:row r="18" ht="70" customHeight="1">
      <x:c r="A18" s="53" t="n">
        <x:v>13</x:v>
      </x:c>
      <x:c r="B18" s="75" t="n">
        <x:v>45960.5</x:v>
      </x:c>
      <x:c r="C18" s="45" t="str">
        <x:v>r/BudgetBakers</x:v>
      </x:c>
      <x:c r="D18" s="45" t="str">
        <x:v>Wallet</x:v>
      </x:c>
      <x:c r="E18" s="45" t="str">
        <x:v>Complaint</x:v>
      </x:c>
      <x:c r="F18" s="45" t="str">
        <x:v>Mobile / web parity</x:v>
      </x:c>
      <x:c r="G18" s="45" t="str">
        <x:v>Web/browser data did not match the mobile app.</x:v>
      </x:c>
      <x:c r="H18" s="45" t="str">
        <x:v>One reconciled source of truth matters for money products.</x:v>
      </x:c>
      <x:c r="I18" s="45" t="str">
        <x:v>Medium</x:v>
      </x:c>
      <x:c r="J18" s="76" t="n">
        <x:v>6</x:v>
      </x:c>
      <x:c r="K18" s="45" t="str">
        <x:v>https://www.reddit.com/r/BudgetBakers/comments/1ojwt0u/syncing_problem/</x:v>
      </x:c>
    </x:row>
    <x:row r="19" ht="70" customHeight="1">
      <x:c r="A19" s="53" t="n">
        <x:v>14</x:v>
      </x:c>
      <x:c r="B19" s="75" t="n">
        <x:v>46119.5</x:v>
      </x:c>
      <x:c r="C19" s="45" t="str">
        <x:v>r/BudgetBakers</x:v>
      </x:c>
      <x:c r="D19" s="45" t="str">
        <x:v>Wallet vs Bilance</x:v>
      </x:c>
      <x:c r="E19" s="45" t="str">
        <x:v>Positive alternative</x:v>
      </x:c>
      <x:c r="F19" s="45" t="str">
        <x:v>Categorization &amp; bulk correction</x:v>
      </x:c>
      <x:c r="G19" s="45" t="str">
        <x:v>Bilance was praised for clean merchant names, similar-transaction bulk edits and more reliable EU sync.</x:v>
      </x:c>
      <x:c r="H19" s="45" t="str">
        <x:v>Competitors already pair polished UX with smart corrections.</x:v>
      </x:c>
      <x:c r="I19" s="45" t="str">
        <x:v>High</x:v>
      </x:c>
      <x:c r="J19" s="76" t="n">
        <x:v>10</x:v>
      </x:c>
      <x:c r="K19" s="45" t="str">
        <x:v>https://www.reddit.com/r/BudgetBakers/comments/1senxdi/wallet_lifetime_user_vs_bilance_premium_first/</x:v>
      </x:c>
    </x:row>
    <x:row r="20" ht="70" customHeight="1">
      <x:c r="A20" s="53" t="n">
        <x:v>15</x:v>
      </x:c>
      <x:c r="B20" s="75" t="n">
        <x:v>46092.5</x:v>
      </x:c>
      <x:c r="C20" s="45" t="str">
        <x:v>r/eupersonalfinance</x:v>
      </x:c>
      <x:c r="D20" s="45" t="str">
        <x:v>Bilance / EU market</x:v>
      </x:c>
      <x:c r="E20" s="45" t="str">
        <x:v>Missing feature</x:v>
      </x:c>
      <x:c r="F20" s="45" t="str">
        <x:v>Shared / household finances</x:v>
      </x:c>
      <x:c r="G20" s="45" t="str">
        <x:v>Joint-account spending counted 100% toward one person; user wanted ownership ratios such as 50%.</x:v>
      </x:c>
      <x:c r="H20" s="45" t="str">
        <x:v>True shared-finance accounting is a sharp, under-served wedge.</x:v>
      </x:c>
      <x:c r="I20" s="45" t="str">
        <x:v>High</x:v>
      </x:c>
      <x:c r="J20" s="76" t="n">
        <x:v>2</x:v>
      </x:c>
      <x:c r="K20" s="45" t="str">
        <x:v>https://www.reddit.com/r/eupersonalfinance/comments/1rqxidg/euwide_expense_tracking_app/</x:v>
      </x:c>
    </x:row>
    <x:row r="21" ht="70" customHeight="1">
      <x:c r="A21" s="53" t="n">
        <x:v>16</x:v>
      </x:c>
      <x:c r="B21" s="75" t="n">
        <x:v>46003.5</x:v>
      </x:c>
      <x:c r="C21" s="45" t="str">
        <x:v>r/BudgetBakers</x:v>
      </x:c>
      <x:c r="D21" s="45" t="str">
        <x:v>Bilance</x:v>
      </x:c>
      <x:c r="E21" s="45" t="str">
        <x:v>Complaint</x:v>
      </x:c>
      <x:c r="F21" s="45" t="str">
        <x:v>Pricing &amp; value fairness</x:v>
      </x:c>
      <x:c r="G21" s="45" t="str">
        <x:v>User liked Bilance but rejected an annual subscription and preferred a lifetime option.</x:v>
      </x:c>
      <x:c r="H21" s="45" t="str">
        <x:v>Wollie must prove recurring value, not just be cheaper than leaders.</x:v>
      </x:c>
      <x:c r="I21" s="45" t="str">
        <x:v>Medium</x:v>
      </x:c>
      <x:c r="J21" s="76" t="n">
        <x:v>19</x:v>
      </x:c>
      <x:c r="K21" s="45" t="str">
        <x:v>https://www.reddit.com/r/BudgetBakers/comments/1pkqdp7/alternatives_to_wallet/</x:v>
      </x:c>
    </x:row>
    <x:row r="22" ht="70" customHeight="1">
      <x:c r="A22" s="53" t="n">
        <x:v>17</x:v>
      </x:c>
      <x:c r="B22" s="75" t="n">
        <x:v>45770.5</x:v>
      </x:c>
      <x:c r="C22" s="45" t="str">
        <x:v>r/BudgetBakers</x:v>
      </x:c>
      <x:c r="D22" s="45" t="str">
        <x:v>Spendee</x:v>
      </x:c>
      <x:c r="E22" s="45" t="str">
        <x:v>Complaint</x:v>
      </x:c>
      <x:c r="F22" s="45" t="str">
        <x:v>Categorization &amp; bulk correction</x:v>
      </x:c>
      <x:c r="G22" s="45" t="str">
        <x:v>Automatic categories did not learn from manual corrections, creating repeated cleanup.</x:v>
      </x:c>
      <x:c r="H22" s="45" t="str">
        <x:v>Teach-once categorization is a recurring unmet need.</x:v>
      </x:c>
      <x:c r="I22" s="45" t="str">
        <x:v>Medium</x:v>
      </x:c>
      <x:c r="J22" s="76" t="n">
        <x:v>14</x:v>
      </x:c>
      <x:c r="K22" s="45" t="str">
        <x:v>https://www.reddit.com/r/BudgetBakers/comments/1k5spt1/wallet_app_alternatives_sync_issues_driving_me/</x:v>
      </x:c>
    </x:row>
    <x:row r="23" ht="70" customHeight="1">
      <x:c r="A23" s="53" t="n">
        <x:v>18</x:v>
      </x:c>
      <x:c r="B23" s="75" t="n">
        <x:v>46092.5</x:v>
      </x:c>
      <x:c r="C23" s="45" t="str">
        <x:v>r/eupersonalfinance</x:v>
      </x:c>
      <x:c r="D23" s="45" t="str">
        <x:v>EU market</x:v>
      </x:c>
      <x:c r="E23" s="45" t="str">
        <x:v>Missing feature</x:v>
      </x:c>
      <x:c r="F23" s="45" t="str">
        <x:v>EU bank coverage / multi-country</x:v>
      </x:c>
      <x:c r="G23" s="45" t="str">
        <x:v>User needed Spanish and German banks in one app and found country-specific tools inadequate.</x:v>
      </x:c>
      <x:c r="H23" s="45" t="str">
        <x:v>Wollie should publish real bank/country coverage and expand by cross-border use cases.</x:v>
      </x:c>
      <x:c r="I23" s="45" t="str">
        <x:v>High</x:v>
      </x:c>
      <x:c r="J23" s="76" t="n">
        <x:v>2</x:v>
      </x:c>
      <x:c r="K23" s="45" t="str">
        <x:v>https://www.reddit.com/r/eupersonalfinance/comments/1rqxidg/euwide_expense_tracking_app/</x:v>
      </x:c>
    </x:row>
    <x:row r="24" ht="70" customHeight="1">
      <x:c r="A24" s="53" t="n">
        <x:v>19</x:v>
      </x:c>
      <x:c r="B24" s="75" t="n">
        <x:v>45974.5</x:v>
      </x:c>
      <x:c r="C24" s="45" t="str">
        <x:v>r/eupersonalfinance</x:v>
      </x:c>
      <x:c r="D24" s="45" t="str">
        <x:v>EU market</x:v>
      </x:c>
      <x:c r="E24" s="45" t="str">
        <x:v>Missing feature</x:v>
      </x:c>
      <x:c r="F24" s="45" t="str">
        <x:v>Shared / household finances</x:v>
      </x:c>
      <x:c r="G24" s="45" t="str">
        <x:v>Couples resorted to Splitwise, workarounds or spreadsheets because shared budgeting was painful.</x:v>
      </x:c>
      <x:c r="H24" s="45" t="str">
        <x:v>Household mode can remove a whole-app workaround.</x:v>
      </x:c>
      <x:c r="I24" s="45" t="str">
        <x:v>High</x:v>
      </x:c>
      <x:c r="J24" s="76" t="n">
        <x:v>8</x:v>
      </x:c>
      <x:c r="K24" s="45" t="str">
        <x:v>https://www.reddit.com/r/eupersonalfinance/comments/1ow2zp8/what_do_you_use_for_shared_budgeting/</x:v>
      </x:c>
    </x:row>
    <x:row r="25" ht="70" customHeight="1">
      <x:c r="A25" s="53" t="n">
        <x:v>20</x:v>
      </x:c>
      <x:c r="B25" s="75" t="n">
        <x:v>45958.5</x:v>
      </x:c>
      <x:c r="C25" s="45" t="str">
        <x:v>r/personalfinance</x:v>
      </x:c>
      <x:c r="D25" s="45" t="str">
        <x:v>Category</x:v>
      </x:c>
      <x:c r="E25" s="45" t="str">
        <x:v>Concern</x:v>
      </x:c>
      <x:c r="F25" s="45" t="str">
        <x:v>Privacy &amp; bank-linking trust</x:v>
      </x:c>
      <x:c r="G25" s="45" t="str">
        <x:v>Spreadsheet user valued automation but was uneasy granting a third party access to all accounts.</x:v>
      </x:c>
      <x:c r="H25" s="45" t="str">
        <x:v>Explain read-only OAuth, data fields, revocation and password handling in-product.</x:v>
      </x:c>
      <x:c r="I25" s="45" t="str">
        <x:v>High</x:v>
      </x:c>
      <x:c r="J25" s="76" t="n">
        <x:v>4</x:v>
      </x:c>
      <x:c r="K25" s="45" t="str">
        <x:v>https://www.reddit.com/r/personalfinance/comments/1oierkj/letting_budget_apps_connect_to_your_bank/</x:v>
      </x:c>
    </x:row>
    <x:row r="26" ht="70" customHeight="1">
      <x:c r="A26" s="53" t="n">
        <x:v>21</x:v>
      </x:c>
      <x:c r="B26" s="75" t="n">
        <x:v>45958.5</x:v>
      </x:c>
      <x:c r="C26" s="45" t="str">
        <x:v>r/personalfinance</x:v>
      </x:c>
      <x:c r="D26" s="45" t="str">
        <x:v>Category</x:v>
      </x:c>
      <x:c r="E26" s="45" t="str">
        <x:v>Complaint</x:v>
      </x:c>
      <x:c r="F26" s="45" t="str">
        <x:v>Bank sync reliability &amp; freshness</x:v>
      </x:c>
      <x:c r="G26" s="45" t="str">
        <x:v>YNAB user avoided sync because connections repeatedly broke, not because of security concerns.</x:v>
      </x:c>
      <x:c r="H26" s="45" t="str">
        <x:v>Broken automation can be worse than honest manual workflows.</x:v>
      </x:c>
      <x:c r="I26" s="45" t="str">
        <x:v>High</x:v>
      </x:c>
      <x:c r="J26" s="76" t="n">
        <x:v>4</x:v>
      </x:c>
      <x:c r="K26" s="45" t="str">
        <x:v>https://www.reddit.com/r/personalfinance/comments/1oierkj/letting_budget_apps_connect_to_your_bank/</x:v>
      </x:c>
    </x:row>
    <x:row r="27" ht="70" customHeight="1">
      <x:c r="A27" s="53" t="n">
        <x:v>22</x:v>
      </x:c>
      <x:c r="B27" s="75" t="n">
        <x:v>46196.5</x:v>
      </x:c>
      <x:c r="C27" s="45" t="str">
        <x:v>r/budget</x:v>
      </x:c>
      <x:c r="D27" s="45" t="str">
        <x:v>Category</x:v>
      </x:c>
      <x:c r="E27" s="45" t="str">
        <x:v>Missing feature</x:v>
      </x:c>
      <x:c r="F27" s="45" t="str">
        <x:v>Complexity &amp; maintenance</x:v>
      </x:c>
      <x:c r="G27" s="45" t="str">
        <x:v>User said 15–20 categories and a large setup form made budgets feel like forced spreadsheets.</x:v>
      </x:c>
      <x:c r="H27" s="45" t="str">
        <x:v>Start with the bank data and three decisions, not a blank budget taxonomy.</x:v>
      </x:c>
      <x:c r="I27" s="45" t="str">
        <x:v>Medium</x:v>
      </x:c>
      <x:c r="J27" s="76" t="n">
        <x:v>1</x:v>
      </x:c>
      <x:c r="K27" s="45" t="str">
        <x:v>https://www.reddit.com/r/budget/comments/1udii1a/rate_this_method_or_give_suggestions/</x:v>
      </x:c>
    </x:row>
    <x:row r="28" ht="70" customHeight="1">
      <x:c r="A28" s="53" t="n">
        <x:v>23</x:v>
      </x:c>
      <x:c r="B28" s="75" t="n">
        <x:v>45501.5</x:v>
      </x:c>
      <x:c r="C28" s="45" t="str">
        <x:v>r/budget</x:v>
      </x:c>
      <x:c r="D28" s="45" t="str">
        <x:v>Category</x:v>
      </x:c>
      <x:c r="E28" s="45" t="str">
        <x:v>Missing feature</x:v>
      </x:c>
      <x:c r="F28" s="45" t="str">
        <x:v>Forecasting irregular expenses</x:v>
      </x:c>
      <x:c r="G28" s="45" t="str">
        <x:v>User needed a clear view of irregular annual bills and large planned purchases across future months.</x:v>
      </x:c>
      <x:c r="H28" s="45" t="str">
        <x:v>Safe-to-spend should reserve irregular obligations, not only recurring monthly bills.</x:v>
      </x:c>
      <x:c r="I28" s="45" t="str">
        <x:v>Medium</x:v>
      </x:c>
      <x:c r="J28" s="76" t="n">
        <x:v>1</x:v>
      </x:c>
      <x:c r="K28" s="45" t="str">
        <x:v>https://www.reddit.com/r/budget/comments/1ed7sms/what_do_you_lovehate_about_budgeting_apps/</x:v>
      </x:c>
    </x:row>
    <x:row r="29" ht="70" customHeight="1">
      <x:c r="A29" s="53" t="n">
        <x:v>24</x:v>
      </x:c>
      <x:c r="B29" s="75" t="n">
        <x:v>46079.5</x:v>
      </x:c>
      <x:c r="C29" s="45" t="str">
        <x:v>r/budget</x:v>
      </x:c>
      <x:c r="D29" s="45" t="str">
        <x:v>Category</x:v>
      </x:c>
      <x:c r="E29" s="45" t="str">
        <x:v>Missing feature</x:v>
      </x:c>
      <x:c r="F29" s="45" t="str">
        <x:v>Forecasting irregular expenses</x:v>
      </x:c>
      <x:c r="G29" s="45" t="str">
        <x:v>User wanted projections based on real spending that could connect current budgets to retirement scenarios.</x:v>
      </x:c>
      <x:c r="H29" s="45" t="str">
        <x:v>Do not build retirement planning now, but preserve forecast-ready data and APIs.</x:v>
      </x:c>
      <x:c r="I29" s="45" t="str">
        <x:v>Low</x:v>
      </x:c>
      <x:c r="J29" s="76" t="n">
        <x:v>1</x:v>
      </x:c>
      <x:c r="K29" s="45" t="str">
        <x:v>https://www.reddit.com/r/budget/comments/1o4q914/budget_appssoftware_discussion_megathread/</x:v>
      </x:c>
    </x:row>
    <x:row r="30" ht="70" customHeight="1">
      <x:c r="A30" s="53" t="n">
        <x:v>25</x:v>
      </x:c>
      <x:c r="B30" s="75" t="n">
        <x:v>46027.5</x:v>
      </x:c>
      <x:c r="C30" s="45" t="str">
        <x:v>r/budget</x:v>
      </x:c>
      <x:c r="D30" s="45" t="str">
        <x:v>Category</x:v>
      </x:c>
      <x:c r="E30" s="45" t="str">
        <x:v>Complaint</x:v>
      </x:c>
      <x:c r="F30" s="45" t="str">
        <x:v>Complexity &amp; maintenance</x:v>
      </x:c>
      <x:c r="G30" s="45" t="str">
        <x:v>Builder described users stitching budgeting, debt, savings and wealth apps together mentally.</x:v>
      </x:c>
      <x:c r="H30" s="45" t="str">
        <x:v>Wollie can own the monthly control loop without becoming a finance super-app.</x:v>
      </x:c>
      <x:c r="I30" s="45" t="str">
        <x:v>Low</x:v>
      </x:c>
      <x:c r="J30" s="76" t="n">
        <x:v>1</x:v>
      </x:c>
      <x:c r="K30" s="45" t="str">
        <x:v>https://www.reddit.com/r/budget/comments/1o4q914/budget_appssoftware_discussion_megathread/</x:v>
      </x:c>
    </x:row>
    <x:row r="31" ht="70" customHeight="1">
      <x:c r="A31" s="53" t="n">
        <x:v>26</x:v>
      </x:c>
      <x:c r="B31" s="75" t="n">
        <x:v>46050.5</x:v>
      </x:c>
      <x:c r="C31" s="45" t="str">
        <x:v>r/budget</x:v>
      </x:c>
      <x:c r="D31" s="45" t="str">
        <x:v>Category</x:v>
      </x:c>
      <x:c r="E31" s="45" t="str">
        <x:v>Missing feature</x:v>
      </x:c>
      <x:c r="F31" s="45" t="str">
        <x:v>Data portability / recovery</x:v>
      </x:c>
      <x:c r="G31" s="45" t="str">
        <x:v>A new app highlighted transaction read receipts so users could resume after weeks away.</x:v>
      </x:c>
      <x:c r="H31" s="45" t="str">
        <x:v>A clear review checkpoint reduces the cost of falling behind.</x:v>
      </x:c>
      <x:c r="I31" s="45" t="str">
        <x:v>Low</x:v>
      </x:c>
      <x:c r="J31" s="76" t="n">
        <x:v>1</x:v>
      </x:c>
      <x:c r="K31" s="45" t="str">
        <x:v>https://www.reddit.com/r/budget/comments/1o4q914/budget_appssoftware_discussion_megathread/</x:v>
      </x:c>
    </x:row>
    <x:row r="32" ht="70" customHeight="1">
      <x:c r="A32" s="53" t="n">
        <x:v>27</x:v>
      </x:c>
      <x:c r="B32" s="75" t="n">
        <x:v>46191.5</x:v>
      </x:c>
      <x:c r="C32" s="45" t="str">
        <x:v>r/YNABAlternatives</x:v>
      </x:c>
      <x:c r="D32" s="45" t="str">
        <x:v>Category</x:v>
      </x:c>
      <x:c r="E32" s="45" t="str">
        <x:v>Missing feature</x:v>
      </x:c>
      <x:c r="F32" s="45" t="str">
        <x:v>Mobile / web parity</x:v>
      </x:c>
      <x:c r="G32" s="45" t="str">
        <x:v>Users liked mobile-first alternatives but still missed desktop mode or full bank setup on mobile.</x:v>
      </x:c>
      <x:c r="H32" s="45" t="str">
        <x:v>Cross-device jobs must be explicit and complete.</x:v>
      </x:c>
      <x:c r="I32" s="45" t="str">
        <x:v>Medium</x:v>
      </x:c>
      <x:c r="J32" s="76" t="n">
        <x:v>18</x:v>
      </x:c>
      <x:c r="K32" s="45" t="str">
        <x:v>https://www.reddit.com/r/YNABAlternatives/comments/1u9iulj/whats_the_best_mobile_experience_youve_found/</x:v>
      </x:c>
    </x:row>
    <x:row r="33" ht="70" customHeight="1">
      <x:c r="A33" s="53" t="n">
        <x:v>28</x:v>
      </x:c>
      <x:c r="B33" s="75" t="n">
        <x:v>45871.5</x:v>
      </x:c>
      <x:c r="C33" s="45" t="str">
        <x:v>r/selfhosted</x:v>
      </x:c>
      <x:c r="D33" s="45" t="str">
        <x:v>Actual Budget</x:v>
      </x:c>
      <x:c r="E33" s="45" t="str">
        <x:v>Complaint</x:v>
      </x:c>
      <x:c r="F33" s="45" t="str">
        <x:v>EU bank coverage / multi-country</x:v>
      </x:c>
      <x:c r="G33" s="45" t="str">
        <x:v>New Actual users could no longer sign up for GoCardless bank data, breaking the expected EU sync path.</x:v>
      </x:c>
      <x:c r="H33" s="45" t="str">
        <x:v>Provider dependence and migration plans must be visible.</x:v>
      </x:c>
      <x:c r="I33" s="45" t="str">
        <x:v>High</x:v>
      </x:c>
      <x:c r="J33" s="76" t="n">
        <x:v>12</x:v>
      </x:c>
      <x:c r="K33" s="45" t="str">
        <x:v>https://www.reddit.com/r/selfhosted/comments/1mfs6ro/actual_budget_cannot_sign_up_to_gocardless_bank/</x:v>
      </x:c>
    </x:row>
    <x:row r="34" ht="70" customHeight="1">
      <x:c r="A34" s="53" t="n">
        <x:v>29</x:v>
      </x:c>
      <x:c r="B34" s="75" t="n">
        <x:v>46053.5</x:v>
      </x:c>
      <x:c r="C34" s="45" t="str">
        <x:v>r/actualbudgeting</x:v>
      </x:c>
      <x:c r="D34" s="45" t="str">
        <x:v>Actual Budget</x:v>
      </x:c>
      <x:c r="E34" s="45" t="str">
        <x:v>Complaint</x:v>
      </x:c>
      <x:c r="F34" s="45" t="str">
        <x:v>EU bank coverage / multi-country</x:v>
      </x:c>
      <x:c r="G34" s="45" t="str">
        <x:v>Users still could not get a clear answer on new GoCardless availability.</x:v>
      </x:c>
      <x:c r="H34" s="45" t="str">
        <x:v>Wollie can win with an unambiguous supported-bank checker and status page.</x:v>
      </x:c>
      <x:c r="I34" s="45" t="str">
        <x:v>Medium</x:v>
      </x:c>
      <x:c r="J34" s="76" t="n">
        <x:v>2</x:v>
      </x:c>
      <x:c r="K34" s="45" t="str">
        <x:v>https://www.reddit.com/r/actualbudgeting/comments/1qrwymm/gocardless_bank_synchronization/</x:v>
      </x:c>
    </x:row>
    <x:row r="35" ht="70" customHeight="1">
      <x:c r="A35" s="53" t="n">
        <x:v>30</x:v>
      </x:c>
      <x:c r="B35" s="75" t="n">
        <x:v>45681.5</x:v>
      </x:c>
      <x:c r="C35" s="45" t="str">
        <x:v>r/actualbudgeting</x:v>
      </x:c>
      <x:c r="D35" s="45" t="str">
        <x:v>Actual Budget</x:v>
      </x:c>
      <x:c r="E35" s="45" t="str">
        <x:v>Complaint</x:v>
      </x:c>
      <x:c r="F35" s="45" t="str">
        <x:v>Bank sync reliability &amp; freshness</x:v>
      </x:c>
      <x:c r="G35" s="45" t="str">
        <x:v>One sync imported the same transaction six times.</x:v>
      </x:c>
      <x:c r="H35" s="45" t="str">
        <x:v>Idempotency and duplicate resolution must be product-visible and tested.</x:v>
      </x:c>
      <x:c r="I35" s="45" t="str">
        <x:v>Medium</x:v>
      </x:c>
      <x:c r="J35" s="76" t="n">
        <x:v>3</x:v>
      </x:c>
      <x:c r="K35" s="45" t="str">
        <x:v>https://www.reddit.com/r/actualbudgeting/comments/1i95c5j/issues_with_syncing/</x:v>
      </x:c>
    </x:row>
    <x:row r="36" ht="70" customHeight="1">
      <x:c r="A36" s="53" t="n">
        <x:v>31</x:v>
      </x:c>
      <x:c r="B36" s="75" t="n">
        <x:v>46027.5</x:v>
      </x:c>
      <x:c r="C36" s="45" t="str">
        <x:v>r/PersonalFinanceNZ</x:v>
      </x:c>
      <x:c r="D36" s="45" t="str">
        <x:v>PocketSmith</x:v>
      </x:c>
      <x:c r="E36" s="45" t="str">
        <x:v>Complaint</x:v>
      </x:c>
      <x:c r="F36" s="45" t="str">
        <x:v>Pricing &amp; value fairness</x:v>
      </x:c>
      <x:c r="G36" s="45" t="str">
        <x:v>Prospect was shocked by PocketSmith price; free plan lacked automatic bank feeds.</x:v>
      </x:c>
      <x:c r="H36" s="45" t="str">
        <x:v>Wollie price is credible if its core outcome is immediate.</x:v>
      </x:c>
      <x:c r="I36" s="45" t="str">
        <x:v>Medium</x:v>
      </x:c>
      <x:c r="J36" s="76" t="n">
        <x:v>0</x:v>
      </x:c>
      <x:c r="K36" s="45" t="str">
        <x:v>https://www.reddit.com/r/PersonalFinanceNZ/comments/1q41zsc/mybudgetpal_vs_pocketsmith/</x:v>
      </x:c>
    </x:row>
    <x:row r="37" ht="70" customHeight="1">
      <x:c r="A37" s="53" t="n">
        <x:v>32</x:v>
      </x:c>
      <x:c r="B37" s="75" t="n">
        <x:v>45779.5</x:v>
      </x:c>
      <x:c r="C37" s="45" t="str">
        <x:v>r/AusFinance</x:v>
      </x:c>
      <x:c r="D37" s="45" t="str">
        <x:v>PocketSmith</x:v>
      </x:c>
      <x:c r="E37" s="45" t="str">
        <x:v>Complaint</x:v>
      </x:c>
      <x:c r="F37" s="45" t="str">
        <x:v>Mobile / web parity</x:v>
      </x:c>
      <x:c r="G37" s="45" t="str">
        <x:v>Android app was described as a prototype missing asset and category management.</x:v>
      </x:c>
      <x:c r="H37" s="45" t="str">
        <x:v>Responsive web alone may not satisfy a mobile-first money habit.</x:v>
      </x:c>
      <x:c r="I37" s="45" t="str">
        <x:v>Medium</x:v>
      </x:c>
      <x:c r="J37" s="76" t="n">
        <x:v>0</x:v>
      </x:c>
      <x:c r="K37" s="45" t="str">
        <x:v>https://www.reddit.com/r/AusFinance/comments/1ke53au/negative_experience_with_pocketsmith/</x:v>
      </x:c>
    </x:row>
    <x:row r="38" ht="70" customHeight="1">
      <x:c r="A38" s="53" t="n">
        <x:v>33</x:v>
      </x:c>
      <x:c r="B38" s="75" t="n">
        <x:v>46015.5</x:v>
      </x:c>
      <x:c r="C38" s="45" t="str">
        <x:v>r/eupersonalfinance</x:v>
      </x:c>
      <x:c r="D38" s="45" t="str">
        <x:v>EU market</x:v>
      </x:c>
      <x:c r="E38" s="45" t="str">
        <x:v>Complaint</x:v>
      </x:c>
      <x:c r="F38" s="45" t="str">
        <x:v>EU bank coverage / multi-country</x:v>
      </x:c>
      <x:c r="G38" s="45" t="str">
        <x:v>Users tried several global apps and still fell back to Excel for multi-currency, Amex and vesting data.</x:v>
      </x:c>
      <x:c r="H38" s="45" t="str">
        <x:v>Narrow the ICP and be explicit about unsupported complexity.</x:v>
      </x:c>
      <x:c r="I38" s="45" t="str">
        <x:v>High</x:v>
      </x:c>
      <x:c r="J38" s="76" t="n">
        <x:v>26</x:v>
      </x:c>
      <x:c r="K38" s="45" t="str">
        <x:v>https://www.reddit.com/r/eupersonalfinance/comments/1pungkq/what_is_your_go_to_personal_finance_app/</x:v>
      </x:c>
    </x:row>
    <x:row r="39" ht="70" customHeight="1">
      <x:c r="A39" s="53" t="n">
        <x:v>34</x:v>
      </x:c>
      <x:c r="B39" s="75" t="n">
        <x:v>46133.5</x:v>
      </x:c>
      <x:c r="C39" s="45" t="str">
        <x:v>r/BudgetBakers</x:v>
      </x:c>
      <x:c r="D39" s="45" t="str">
        <x:v>MoneyWiz</x:v>
      </x:c>
      <x:c r="E39" s="45" t="str">
        <x:v>Constraint</x:v>
      </x:c>
      <x:c r="F39" s="45" t="str">
        <x:v>Mobile / web parity</x:v>
      </x:c>
      <x:c r="G39" s="45" t="str">
        <x:v>MoneyWiz was recommended but noted as restricted to Apple platforms.</x:v>
      </x:c>
      <x:c r="H39" s="45" t="str">
        <x:v>A web-first cross-platform product still has an accessibility advantage.</x:v>
      </x:c>
      <x:c r="I39" s="45" t="str">
        <x:v>Medium</x:v>
      </x:c>
      <x:c r="J39" s="76" t="n">
        <x:v>10</x:v>
      </x:c>
      <x:c r="K39" s="45" t="str">
        <x:v>https://www.reddit.com/r/BudgetBakers/comments/1srjw7b/better_app_altnerative/</x:v>
      </x:c>
    </x:row>
    <x:row r="40" ht="70" customHeight="1">
      <x:c r="A40" s="53" t="n">
        <x:v>35</x:v>
      </x:c>
      <x:c r="B40" s="75" t="n">
        <x:v>46112.5</x:v>
      </x:c>
      <x:c r="C40" s="45" t="str">
        <x:v>r/BudgetBakers</x:v>
      </x:c>
      <x:c r="D40" s="45" t="str">
        <x:v>Category</x:v>
      </x:c>
      <x:c r="E40" s="45" t="str">
        <x:v>Missing feature</x:v>
      </x:c>
      <x:c r="F40" s="45" t="str">
        <x:v>Data portability / recovery</x:v>
      </x:c>
      <x:c r="G40" s="45" t="str">
        <x:v>User needed printable reports, proper split expenses and split income reimbursements.</x:v>
      </x:c>
      <x:c r="H40" s="45" t="str">
        <x:v>Exports, splits and auditability matter to households with real-world edge cases.</x:v>
      </x:c>
      <x:c r="I40" s="45" t="str">
        <x:v>Medium</x:v>
      </x:c>
      <x:c r="J40" s="76" t="n">
        <x:v>19</x:v>
      </x:c>
      <x:c r="K40" s="45" t="str">
        <x:v>https://www.reddit.com/r/BudgetBakers/comments/1pkqdp7/alternatives_to_wallet/</x:v>
      </x:c>
    </x:row>
    <x:row r="41" ht="70" customHeight="1">
      <x:c r="A41" s="53" t="n">
        <x:v>36</x:v>
      </x:c>
      <x:c r="B41" s="75" t="n">
        <x:v>46183.5</x:v>
      </x:c>
      <x:c r="C41" s="45" t="str">
        <x:v>r/YNABAlternatives</x:v>
      </x:c>
      <x:c r="D41" s="45" t="str">
        <x:v>Category</x:v>
      </x:c>
      <x:c r="E41" s="45" t="str">
        <x:v>Concern</x:v>
      </x:c>
      <x:c r="F41" s="45" t="str">
        <x:v>Vendor continuity &amp; support</x:v>
      </x:c>
      <x:c r="G41" s="45" t="str">
        <x:v>Comparison-chart maintainer said many alternatives are one-person products with little operating history.</x:v>
      </x:c>
      <x:c r="H41" s="45" t="str">
        <x:v>Trust needs operational proof: status, backups, response times and company identity.</x:v>
      </x:c>
      <x:c r="I41" s="45" t="str">
        <x:v>Medium</x:v>
      </x:c>
      <x:c r="J41" s="76" t="n">
        <x:v>0</x:v>
      </x:c>
      <x:c r="K41" s="45" t="str">
        <x:v>https://www.reddit.com/r/YNABAlternatives/comments/1u163dr/comparison_chart_comments/</x:v>
      </x:c>
    </x:row>
    <x:row r="42" ht="70" customHeight="1">
      <x:c r="A42" s="53" t="n">
        <x:v>37</x:v>
      </x:c>
      <x:c r="B42" s="75" t="n">
        <x:v>46081.5</x:v>
      </x:c>
      <x:c r="C42" s="45" t="str">
        <x:v>r/ynab</x:v>
      </x:c>
      <x:c r="D42" s="45" t="str">
        <x:v>Emerging alternative</x:v>
      </x:c>
      <x:c r="E42" s="45" t="str">
        <x:v>Positive signal</x:v>
      </x:c>
      <x:c r="F42" s="45" t="str">
        <x:v>Safe-to-spend clarity</x:v>
      </x:c>
      <x:c r="G42" s="45" t="str">
        <x:v>A lightweight alternative’s “safe to spend today” number resonated as a simpler outcome than envelope maintenance.</x:v>
      </x:c>
      <x:c r="H42" s="45" t="str">
        <x:v>The demand exists, but the number must be explainable and trustworthy.</x:v>
      </x:c>
      <x:c r="I42" s="45" t="str">
        <x:v>Low</x:v>
      </x:c>
      <x:c r="J42" s="76" t="n">
        <x:v>1</x:v>
      </x:c>
      <x:c r="K42" s="45" t="str">
        <x:v>https://www.reddit.com/r/ynab/comments/1rh6qnn/is_ynab_becoming_too_noisy/</x:v>
      </x:c>
    </x:row>
    <x:row r="43" ht="70" customHeight="1">
      <x:c r="A43" s="53" t="n">
        <x:v>38</x:v>
      </x:c>
      <x:c r="B43" s="75" t="n">
        <x:v>46006.5</x:v>
      </x:c>
      <x:c r="C43" s="45" t="str">
        <x:v>r/BudgetBakers</x:v>
      </x:c>
      <x:c r="D43" s="45" t="str">
        <x:v>Category</x:v>
      </x:c>
      <x:c r="E43" s="45" t="str">
        <x:v>Willingness to pay</x:v>
      </x:c>
      <x:c r="F43" s="45" t="str">
        <x:v>Bank sync reliability &amp; freshness</x:v>
      </x:c>
      <x:c r="G43" s="45" t="str">
        <x:v>User with six accounts called bank sync non-negotiable and was willing to pay about $40/year to avoid manual work.</x:v>
      </x:c>
      <x:c r="H43" s="45" t="str">
        <x:v>Reliable sync is monetizable; breadth without reliability is not.</x:v>
      </x:c>
      <x:c r="I43" s="45" t="str">
        <x:v>Medium</x:v>
      </x:c>
      <x:c r="J43" s="76" t="n">
        <x:v>19</x:v>
      </x:c>
      <x:c r="K43" s="45" t="str">
        <x:v>https://www.reddit.com/r/BudgetBakers/comments/1pkqdp7/alternatives_to_wallet/</x:v>
      </x:c>
    </x:row>
    <x:row r="44" ht="70" customHeight="1">
      <x:c r="A44" s="53" t="n">
        <x:v>39</x:v>
      </x:c>
      <x:c r="B44" s="75" t="n">
        <x:v>45390.5</x:v>
      </x:c>
      <x:c r="C44" s="45" t="str">
        <x:v>r/UKPersonalFinance</x:v>
      </x:c>
      <x:c r="D44" s="45" t="str">
        <x:v>Category</x:v>
      </x:c>
      <x:c r="E44" s="45" t="str">
        <x:v>Missing feature</x:v>
      </x:c>
      <x:c r="F44" s="45" t="str">
        <x:v>Categorization &amp; bulk correction</x:v>
      </x:c>
      <x:c r="G44" s="45" t="str">
        <x:v>User wanted a correction to apply to all similar historical and future transactions.</x:v>
      </x:c>
      <x:c r="H44" s="45" t="str">
        <x:v>Bulk history correction plus future rule creation should be one action.</x:v>
      </x:c>
      <x:c r="I44" s="45" t="str">
        <x:v>Medium</x:v>
      </x:c>
      <x:c r="J44" s="76" t="n">
        <x:v>0</x:v>
      </x:c>
      <x:c r="K44" s="45" t="str">
        <x:v>https://www.reddit.com/r/UKPersonalFinance/comments/1byvzku/budgeting_apps_looking_for_some_recommendations/</x:v>
      </x:c>
    </x:row>
    <x:row r="45" ht="70" customHeight="1">
      <x:c r="A45" s="53" t="n">
        <x:v>40</x:v>
      </x:c>
      <x:c r="B45" s="75" t="n">
        <x:v>45400.5</x:v>
      </x:c>
      <x:c r="C45" s="45" t="str">
        <x:v>r/personalfinance</x:v>
      </x:c>
      <x:c r="D45" s="45" t="str">
        <x:v>Category</x:v>
      </x:c>
      <x:c r="E45" s="45" t="str">
        <x:v>Missing feature</x:v>
      </x:c>
      <x:c r="F45" s="45" t="str">
        <x:v>Categorization &amp; bulk correction</x:v>
      </x:c>
      <x:c r="G45" s="45" t="str">
        <x:v>User wanted receipt-level item categories such as groceries versus alcohol, not one merchant category.</x:v>
      </x:c>
      <x:c r="H45" s="45" t="str">
        <x:v>Keep receipt detail later; first solve merchant-level accuracy and splits.</x:v>
      </x:c>
      <x:c r="I45" s="45" t="str">
        <x:v>Low</x:v>
      </x:c>
      <x:c r="J45" s="76" t="n">
        <x:v>0</x:v>
      </x:c>
      <x:c r="K45" s="45" t="str">
        <x:v>https://www.reddit.com/r/personalfinance/comments/1c7q8h1/looking_for_a_spending_analysis_categorisation_app/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8e86cfd1fe49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58" hidden="0" customWidth="1"/>
    <x:col min="9" max="9" width="62" hidden="0" customWidth="1"/>
  </x:cols>
  <x:sheetData>
    <x:row r="1" ht="34" customHeight="1">
      <x:c r="A1" s="89" t="str">
        <x:v>Pain themes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Counts are formula-driven from the Reddit Evidence sheet. Priority combines relative frequency, high-signal posts, impact and strategic fit.</x:v>
      </x:c>
      <x:c r="B2" s="7"/>
      <x:c r="C2" s="7"/>
      <x:c r="D2" s="7"/>
      <x:c r="E2" s="7"/>
      <x:c r="F2" s="7"/>
      <x:c r="G2" s="7"/>
      <x:c r="H2" s="7"/>
      <x:c r="I2" s="7"/>
    </x:row>
    <x:row r="3">
      <x:c r="A3" t="str">
        <x:v>Theme</x:v>
      </x:c>
      <x:c r="B3" t="str">
        <x:v>Evidence count</x:v>
      </x:c>
      <x:c r="C3" t="str">
        <x:v>High-signal count</x:v>
      </x:c>
      <x:c r="D3" t="str">
        <x:v>User impact (1–5)</x:v>
      </x:c>
      <x:c r="E3" t="str">
        <x:v>Wollie fit (1–5)</x:v>
      </x:c>
      <x:c r="F3" t="str">
        <x:v>Priority</x:v>
      </x:c>
      <x:c r="G3" t="str">
        <x:v>User language</x:v>
      </x:c>
      <x:c r="H3" t="str">
        <x:v>Recommended response</x:v>
      </x:c>
      <x:c r="I3" t="str">
        <x:v>Example sources</x:v>
      </x:c>
    </x:row>
    <x:row r="5" ht="32" customHeight="1">
      <x:c r="A5" s="81" t="str">
        <x:v>Theme</x:v>
      </x:c>
      <x:c r="B5" s="81" t="str">
        <x:v>Evidence count</x:v>
      </x:c>
      <x:c r="C5" s="81" t="str">
        <x:v>High-signal count</x:v>
      </x:c>
      <x:c r="D5" s="81" t="str">
        <x:v>User impact</x:v>
      </x:c>
      <x:c r="E5" s="81" t="str">
        <x:v>Wollie fit</x:v>
      </x:c>
      <x:c r="F5" s="81" t="str">
        <x:v>Priority</x:v>
      </x:c>
      <x:c r="G5" s="81" t="str">
        <x:v>User language</x:v>
      </x:c>
      <x:c r="H5" s="81" t="str">
        <x:v>Recommended response</x:v>
      </x:c>
      <x:c r="I5" s="81" t="str">
        <x:v>Example sources</x:v>
      </x:c>
    </x:row>
    <x:row r="6" ht="66" customHeight="1">
      <x:c r="A6" s="70" t="str">
        <x:v>Bank sync reliability &amp; freshness</x:v>
      </x:c>
      <x:c r="B6" s="70" t="n">
        <x:f>COUNTIF('Reddit Evidence'!$F$6:$F$45,A6)</x:f>
        <x:v>7</x:v>
      </x:c>
      <x:c r="C6" s="70" t="n">
        <x:f>COUNTIFS('Reddit Evidence'!$F$6:$F$45,A6,'Reddit Evidence'!$I$6:$I$45,"High")</x:f>
        <x:v>3</x:v>
      </x:c>
      <x:c r="D6" s="70" t="n">
        <x:v>5</x:v>
      </x:c>
      <x:c r="E6" s="70" t="n">
        <x:v>5</x:v>
      </x:c>
      <x:c r="F6" s="73" t="n">
        <x:f>(B6/MAX($B$6:$B$17))*45%+(C6/MAX($C$6:$C$17))*15%+(D6/5)*20%+(E6/5)*20%</x:f>
        <x:v>1</x:v>
      </x:c>
      <x:c r="G6" s="70" t="str">
        <x:v>“Is this number based on fresh, deduplicated data?”</x:v>
      </x:c>
      <x:c r="H6" s="70" t="str">
        <x:v>Sync health center; last-fresh timestamp; idempotent import; duplicate resolution; repair without losing categories.</x:v>
      </x:c>
      <x:c r="I6" s="70" t="str"/>
    </x:row>
    <x:row r="7" ht="66" customHeight="1">
      <x:c r="A7" s="70" t="str">
        <x:v>Categorization &amp; bulk correction</x:v>
      </x:c>
      <x:c r="B7" s="70" t="n">
        <x:f>COUNTIF('Reddit Evidence'!$F$6:$F$45,A7)</x:f>
        <x:v>5</x:v>
      </x:c>
      <x:c r="C7" s="70" t="n">
        <x:f>COUNTIFS('Reddit Evidence'!$F$6:$F$45,A7,'Reddit Evidence'!$I$6:$I$45,"High")</x:f>
        <x:v>1</x:v>
      </x:c>
      <x:c r="D7" s="70" t="n">
        <x:v>5</x:v>
      </x:c>
      <x:c r="E7" s="70" t="n">
        <x:v>5</x:v>
      </x:c>
      <x:c r="F7" s="73" t="n">
        <x:f>(B7/MAX($B$6:$B$17))*45%+(C7/MAX($C$6:$C$17))*15%+(D7/5)*20%+(E7/5)*20%</x:f>
        <x:v>0.7714285714285714</x:v>
      </x:c>
      <x:c r="G7" s="70" t="str">
        <x:v>“Learn this once and fix the rest for me.”</x:v>
      </x:c>
      <x:c r="H7" s="70" t="str">
        <x:v>One action to correct current, historical similar, and future transactions; transparent editable rules.</x:v>
      </x:c>
      <x:c r="I7" s="70" t="str"/>
    </x:row>
    <x:row r="8" ht="66" customHeight="1">
      <x:c r="A8" s="70" t="str">
        <x:v>Shared / household finances</x:v>
      </x:c>
      <x:c r="B8" s="70" t="n">
        <x:f>COUNTIF('Reddit Evidence'!$F$6:$F$45,A8)</x:f>
        <x:v>2</x:v>
      </x:c>
      <x:c r="C8" s="70" t="n">
        <x:f>COUNTIFS('Reddit Evidence'!$F$6:$F$45,A8,'Reddit Evidence'!$I$6:$I$45,"High")</x:f>
        <x:v>2</x:v>
      </x:c>
      <x:c r="D8" s="70" t="n">
        <x:v>5</x:v>
      </x:c>
      <x:c r="E8" s="70" t="n">
        <x:v>5</x:v>
      </x:c>
      <x:c r="F8" s="73" t="n">
        <x:f>(B8/MAX($B$6:$B$17))*45%+(C8/MAX($C$6:$C$17))*15%+(D8/5)*20%+(E8/5)*20%</x:f>
        <x:v>0.6285714285714286</x:v>
      </x:c>
      <x:c r="G8" s="70" t="str">
        <x:v>“Show my share, our share and my partner’s share without Splitwise.”</x:v>
      </x:c>
      <x:c r="H8" s="70" t="str">
        <x:v>Account ownership ratios, split transactions, joint/personal views, partner invite and permissions.</x:v>
      </x:c>
      <x:c r="I8" s="70" t="str"/>
    </x:row>
    <x:row r="9" ht="66" customHeight="1">
      <x:c r="A9" s="70" t="str">
        <x:v>Complexity &amp; maintenance</x:v>
      </x:c>
      <x:c r="B9" s="70" t="n">
        <x:f>COUNTIF('Reddit Evidence'!$F$6:$F$45,A9)</x:f>
        <x:v>5</x:v>
      </x:c>
      <x:c r="C9" s="70" t="n">
        <x:f>COUNTIFS('Reddit Evidence'!$F$6:$F$45,A9,'Reddit Evidence'!$I$6:$I$45,"High")</x:f>
        <x:v>3</x:v>
      </x:c>
      <x:c r="D9" s="70" t="n">
        <x:v>5</x:v>
      </x:c>
      <x:c r="E9" s="70" t="n">
        <x:v>5</x:v>
      </x:c>
      <x:c r="F9" s="73" t="n">
        <x:f>(B9/MAX($B$6:$B$17))*45%+(C9/MAX($C$6:$C$17))*15%+(D9/5)*20%+(E9/5)*20%</x:f>
        <x:v>0.8714285714285714</x:v>
      </x:c>
      <x:c r="G9" s="70" t="str">
        <x:v>“Don’t make me build another spreadsheet inside an app.”</x:v>
      </x:c>
      <x:c r="H9" s="70" t="str">
        <x:v>Bank-first onboarding; suggested starter plan; weekly review queue; progressive disclosure.</x:v>
      </x:c>
      <x:c r="I9" s="70" t="str"/>
    </x:row>
    <x:row r="10" ht="66" customHeight="1">
      <x:c r="A10" s="70" t="str">
        <x:v>Pricing &amp; value fairness</x:v>
      </x:c>
      <x:c r="B10" s="70" t="n">
        <x:f>COUNTIF('Reddit Evidence'!$F$6:$F$45,A10)</x:f>
        <x:v>3</x:v>
      </x:c>
      <x:c r="C10" s="70" t="n">
        <x:f>COUNTIFS('Reddit Evidence'!$F$6:$F$45,A10,'Reddit Evidence'!$I$6:$I$45,"High")</x:f>
        <x:v>1</x:v>
      </x:c>
      <x:c r="D10" s="70" t="n">
        <x:v>4</x:v>
      </x:c>
      <x:c r="E10" s="70" t="n">
        <x:v>4</x:v>
      </x:c>
      <x:c r="F10" s="73" t="n">
        <x:f>(B10/MAX($B$6:$B$17))*45%+(C10/MAX($C$6:$C$17))*15%+(D10/5)*20%+(E10/5)*20%</x:f>
        <x:v>0.562857142857143</x:v>
      </x:c>
      <x:c r="G10" s="70" t="str">
        <x:v>“I’ll pay if sync works and saves real time.”</x:v>
      </x:c>
      <x:c r="H10" s="70" t="str">
        <x:v>Keep €59 annual; prove outcome in trial; avoid feature tiers; publish value and coverage.</x:v>
      </x:c>
      <x:c r="I10" s="70" t="str"/>
    </x:row>
    <x:row r="11" ht="66" customHeight="1">
      <x:c r="A11" s="70" t="str">
        <x:v>EU bank coverage / multi-country</x:v>
      </x:c>
      <x:c r="B11" s="70" t="n">
        <x:f>COUNTIF('Reddit Evidence'!$F$6:$F$45,A11)</x:f>
        <x:v>4</x:v>
      </x:c>
      <x:c r="C11" s="70" t="n">
        <x:f>COUNTIFS('Reddit Evidence'!$F$6:$F$45,A11,'Reddit Evidence'!$I$6:$I$45,"High")</x:f>
        <x:v>3</x:v>
      </x:c>
      <x:c r="D11" s="70" t="n">
        <x:v>5</x:v>
      </x:c>
      <x:c r="E11" s="70" t="n">
        <x:v>5</x:v>
      </x:c>
      <x:c r="F11" s="73" t="n">
        <x:f>(B11/MAX($B$6:$B$17))*45%+(C11/MAX($C$6:$C$17))*15%+(D11/5)*20%+(E11/5)*20%</x:f>
        <x:v>0.8071428571428572</x:v>
      </x:c>
      <x:c r="G11" s="70" t="str">
        <x:v>“My accounts cross borders; your coverage should too.”</x:v>
      </x:c>
      <x:c r="H11" s="70" t="str">
        <x:v>Public bank checker, country roadmap, provider fallback plan, multi-currency architecture.</x:v>
      </x:c>
      <x:c r="I11" s="70" t="str"/>
    </x:row>
    <x:row r="12" ht="66" customHeight="1">
      <x:c r="A12" s="70" t="str">
        <x:v>Privacy &amp; bank-linking trust</x:v>
      </x:c>
      <x:c r="B12" s="70" t="n">
        <x:f>COUNTIF('Reddit Evidence'!$F$6:$F$45,A12)</x:f>
        <x:v>1</x:v>
      </x:c>
      <x:c r="C12" s="70" t="n">
        <x:f>COUNTIFS('Reddit Evidence'!$F$6:$F$45,A12,'Reddit Evidence'!$I$6:$I$45,"High")</x:f>
        <x:v>1</x:v>
      </x:c>
      <x:c r="D12" s="70" t="n">
        <x:v>5</x:v>
      </x:c>
      <x:c r="E12" s="70" t="n">
        <x:v>5</x:v>
      </x:c>
      <x:c r="F12" s="73" t="n">
        <x:f>(B12/MAX($B$6:$B$17))*45%+(C12/MAX($C$6:$C$17))*15%+(D12/5)*20%+(E12/5)*20%</x:f>
        <x:v>0.5142857142857142</x:v>
      </x:c>
      <x:c r="G12" s="70" t="str">
        <x:v>“What exactly can you see, and can you move money?”</x:v>
      </x:c>
      <x:c r="H12" s="70" t="str">
        <x:v>Permission receipt, read-only explanation, revoke/delete/export controls, data-flow diagram.</x:v>
      </x:c>
      <x:c r="I12" s="70" t="str"/>
    </x:row>
    <x:row r="13" ht="66" customHeight="1">
      <x:c r="A13" s="70" t="str">
        <x:v>Data portability / recovery</x:v>
      </x:c>
      <x:c r="B13" s="70" t="n">
        <x:f>COUNTIF('Reddit Evidence'!$F$6:$F$45,A13)</x:f>
        <x:v>3</x:v>
      </x:c>
      <x:c r="C13" s="70" t="n">
        <x:f>COUNTIFS('Reddit Evidence'!$F$6:$F$45,A13,'Reddit Evidence'!$I$6:$I$45,"High")</x:f>
        <x:v>1</x:v>
      </x:c>
      <x:c r="D13" s="70" t="n">
        <x:v>5</x:v>
      </x:c>
      <x:c r="E13" s="70" t="n">
        <x:v>4</x:v>
      </x:c>
      <x:c r="F13" s="73" t="n">
        <x:f>(B13/MAX($B$6:$B$17))*45%+(C13/MAX($C$6:$C$17))*15%+(D13/5)*20%+(E13/5)*20%</x:f>
        <x:v>0.6028571428571429</x:v>
      </x:c>
      <x:c r="G13" s="70" t="str">
        <x:v>“A backup must actually restore everything.”</x:v>
      </x:c>
      <x:c r="H13" s="70" t="str">
        <x:v>Versioned export and import, soft delete/trash, restore drill, audit log.</x:v>
      </x:c>
      <x:c r="I13" s="70" t="str"/>
    </x:row>
    <x:row r="14" ht="66" customHeight="1">
      <x:c r="A14" s="70" t="str">
        <x:v>Mobile / web parity</x:v>
      </x:c>
      <x:c r="B14" s="70" t="n">
        <x:f>COUNTIF('Reddit Evidence'!$F$6:$F$45,A14)</x:f>
        <x:v>5</x:v>
      </x:c>
      <x:c r="C14" s="70" t="n">
        <x:f>COUNTIFS('Reddit Evidence'!$F$6:$F$45,A14,'Reddit Evidence'!$I$6:$I$45,"High")</x:f>
        <x:v>1</x:v>
      </x:c>
      <x:c r="D14" s="70" t="n">
        <x:v>4</x:v>
      </x:c>
      <x:c r="E14" s="70" t="n">
        <x:v>4</x:v>
      </x:c>
      <x:c r="F14" s="73" t="n">
        <x:f>(B14/MAX($B$6:$B$17))*45%+(C14/MAX($C$6:$C$17))*15%+(D14/5)*20%+(E14/5)*20%</x:f>
        <x:v>0.6914285714285715</x:v>
      </x:c>
      <x:c r="G14" s="70" t="str">
        <x:v>“Do the same core jobs on every device.”</x:v>
      </x:c>
      <x:c r="H14" s="70" t="str">
        <x:v>PWA polish now; native wrapper only after retention; parity checklist for review/sync/budget.</x:v>
      </x:c>
      <x:c r="I14" s="70" t="str"/>
    </x:row>
    <x:row r="15" ht="66" customHeight="1">
      <x:c r="A15" s="70" t="str">
        <x:v>Forecasting irregular expenses</x:v>
      </x:c>
      <x:c r="B15" s="70" t="n">
        <x:f>COUNTIF('Reddit Evidence'!$F$6:$F$45,A15)</x:f>
        <x:v>2</x:v>
      </x:c>
      <x:c r="C15" s="70" t="n">
        <x:f>COUNTIFS('Reddit Evidence'!$F$6:$F$45,A15,'Reddit Evidence'!$I$6:$I$45,"High")</x:f>
        <x:v>0</x:v>
      </x:c>
      <x:c r="D15" s="70" t="n">
        <x:v>4</x:v>
      </x:c>
      <x:c r="E15" s="70" t="n">
        <x:v>4</x:v>
      </x:c>
      <x:c r="F15" s="73" t="n">
        <x:f>(B15/MAX($B$6:$B$17))*45%+(C15/MAX($C$6:$C$17))*15%+(D15/5)*20%+(E15/5)*20%</x:f>
        <x:v>0.4485714285714286</x:v>
      </x:c>
      <x:c r="G15" s="70" t="str">
        <x:v>“Reserve annual and irregular costs before telling me I can spend.”</x:v>
      </x:c>
      <x:c r="H15" s="70" t="str">
        <x:v>Sinking funds and planned obligations included in safe-to-spend breakdown.</x:v>
      </x:c>
      <x:c r="I15" s="70" t="str"/>
    </x:row>
    <x:row r="16" ht="66" customHeight="1">
      <x:c r="A16" s="70" t="str">
        <x:v>Vendor continuity &amp; support</x:v>
      </x:c>
      <x:c r="B16" s="70" t="n">
        <x:f>COUNTIF('Reddit Evidence'!$F$6:$F$45,A16)</x:f>
        <x:v>2</x:v>
      </x:c>
      <x:c r="C16" s="70" t="n">
        <x:f>COUNTIFS('Reddit Evidence'!$F$6:$F$45,A16,'Reddit Evidence'!$I$6:$I$45,"High")</x:f>
        <x:v>1</x:v>
      </x:c>
      <x:c r="D16" s="70" t="n">
        <x:v>5</x:v>
      </x:c>
      <x:c r="E16" s="70" t="n">
        <x:v>4</x:v>
      </x:c>
      <x:c r="F16" s="73" t="n">
        <x:f>(B16/MAX($B$6:$B$17))*45%+(C16/MAX($C$6:$C$17))*15%+(D16/5)*20%+(E16/5)*20%</x:f>
        <x:v>0.5385714285714286</x:v>
      </x:c>
      <x:c r="G16" s="70" t="str">
        <x:v>“Will this still work, and will someone answer?”</x:v>
      </x:c>
      <x:c r="H16" s="70" t="str">
        <x:v>Public status, incident history, support target, provider contingency and export guarantee.</x:v>
      </x:c>
      <x:c r="I16" s="70" t="str"/>
    </x:row>
    <x:row r="17" ht="66" customHeight="1">
      <x:c r="A17" s="71" t="str">
        <x:v>Safe-to-spend clarity</x:v>
      </x:c>
      <x:c r="B17" s="71" t="n">
        <x:f>COUNTIF('Reddit Evidence'!$F$6:$F$45,A17)</x:f>
        <x:v>1</x:v>
      </x:c>
      <x:c r="C17" s="71" t="n">
        <x:f>COUNTIFS('Reddit Evidence'!$F$6:$F$45,A17,'Reddit Evidence'!$I$6:$I$45,"High")</x:f>
        <x:v>0</x:v>
      </x:c>
      <x:c r="D17" s="71" t="n">
        <x:v>5</x:v>
      </x:c>
      <x:c r="E17" s="71" t="n">
        <x:v>5</x:v>
      </x:c>
      <x:c r="F17" s="74" t="n">
        <x:f>(B17/MAX($B$6:$B$17))*45%+(C17/MAX($C$6:$C$17))*15%+(D17/5)*20%+(E17/5)*20%</x:f>
        <x:v>0.4642857142857143</x:v>
      </x:c>
      <x:c r="G17" s="71" t="str">
        <x:v>“Give me one number, then show exactly why.”</x:v>
      </x:c>
      <x:c r="H17" s="71" t="str">
        <x:v>Explainable calculation, assumptions, confidence state and what needs review before trust.</x:v>
      </x:c>
      <x:c r="I17" s="71" t="str"/>
    </x:row>
  </x:sheetData>
  <x:mergeCells>
    <x:mergeCell ref="A1:I1"/>
    <x:mergeCell ref="A2:I2"/>
  </x:mergeCells>
  <x:conditionalFormatting sqref="F6:F17">
    <x:cfRule type="dataBar" priority="1">
      <x:dataBar>
        <x:cfvo type="min"/>
        <x:cfvo type="max"/>
        <x:color rgb="FF087F5B"/>
      </x:dataBar>
      <x:extLst>
        <x:ext xmlns:x14="http://schemas.microsoft.com/office/spreadsheetml/2009/9/main" uri="{B025F937-C7B1-47D3-B67F-A62EFF666E3E}">
          <x14:id>{60721E7A-0892-7829-3D10-5E061B2B9357}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2694bbc053d4e6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721E7A-0892-7829-3D10-5E061B2B9357}">
            <x14:dataBar gradient="1">
              <x14:cfvo type="min"/>
              <x14:cfvo type="max"/>
              <x14:fillColor rgb="FF087F5B"/>
            </x14:dataBar>
          </x14:cfRule>
          <xm:sqref>F6:F17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6" hidden="0" customWidth="1"/>
    <x:col min="11" max="11" width="58" hidden="0" customWidth="1"/>
    <x:col min="12" max="12" width="48" hidden="0" customWidth="1"/>
  </x:cols>
  <x:sheetData>
    <x:row r="1" ht="34" customHeight="1">
      <x:c r="A1" s="89" t="str">
        <x:v>Differentiation opportunities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Priority = desirability 30% + differentiation 25% + feasibility 20% + trust 15% + strategic fit 10% · scored 1–5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C3" s="56" t="str">
        <x:v>Weights →</x:v>
      </x:c>
      <x:c r="D3" s="84" t="n">
        <x:v>30</x:v>
      </x:c>
      <x:c r="E3" s="84" t="n">
        <x:v>25</x:v>
      </x:c>
      <x:c r="F3" s="84" t="n">
        <x:v>20</x:v>
      </x:c>
      <x:c r="G3" s="84" t="n">
        <x:v>15</x:v>
      </x:c>
      <x:c r="H3" s="84" t="n">
        <x:v>10</x:v>
      </x:c>
    </x:row>
    <x:row r="5" ht="36" customHeight="1">
      <x:c r="A5" s="39" t="str">
        <x:v>Opportunity</x:v>
      </x:c>
      <x:c r="B5" s="39" t="str">
        <x:v>Evidence</x:v>
      </x:c>
      <x:c r="C5" s="39" t="str">
        <x:v>User outcome</x:v>
      </x:c>
      <x:c r="D5" s="39" t="str">
        <x:v>Desirability</x:v>
      </x:c>
      <x:c r="E5" s="39" t="str">
        <x:v>Differentiation</x:v>
      </x:c>
      <x:c r="F5" s="39" t="str">
        <x:v>Feasibility</x:v>
      </x:c>
      <x:c r="G5" s="39" t="str">
        <x:v>Trust leverage</x:v>
      </x:c>
      <x:c r="H5" s="39" t="str">
        <x:v>Strategic fit</x:v>
      </x:c>
      <x:c r="I5" s="39" t="str">
        <x:v>Priority score</x:v>
      </x:c>
      <x:c r="J5" s="39" t="str">
        <x:v>Horizon</x:v>
      </x:c>
      <x:c r="K5" s="39" t="str">
        <x:v>Build / prove</x:v>
      </x:c>
      <x:c r="L5" s="39" t="str">
        <x:v>Guardrail</x:v>
      </x:c>
    </x:row>
    <x:row r="6" ht="78" customHeight="1">
      <x:c r="A6" s="69" t="str">
        <x:v>Trustworthy sync control center</x:v>
      </x:c>
      <x:c r="B6" s="69" t="str">
        <x:v>Repeated highest-frequency complaint across Wallet, YNAB and Actual</x:v>
      </x:c>
      <x:c r="C6" s="69" t="str">
        <x:v>Know what is fresh, broken or duplicated before making a decision</x:v>
      </x:c>
      <x:c r="D6" s="69" t="n">
        <x:v>5</x:v>
      </x:c>
      <x:c r="E6" s="69" t="n">
        <x:v>5</x:v>
      </x:c>
      <x:c r="F6" s="69" t="n">
        <x:v>4</x:v>
      </x:c>
      <x:c r="G6" s="69" t="n">
        <x:v>5</x:v>
      </x:c>
      <x:c r="H6" s="69" t="n">
        <x:v>5</x:v>
      </x:c>
      <x:c r="I6" s="72" t="n">
        <x:f>SUMPRODUCT(D6:H6,$D$3:$H$3)/(5*SUM($D$3:$H$3))</x:f>
        <x:v>0.96</x:v>
      </x:c>
      <x:c r="J6" s="69" t="str">
        <x:v>0–3 months</x:v>
      </x:c>
      <x:c r="K6" s="69" t="str">
        <x:v>Per-account freshness; sync history; retry/reconnect; dedupe; repair preserving user edits</x:v>
      </x:c>
      <x:c r="L6" s="69" t="str">
        <x:v>Do not claim “automatic” until background reliability is measured</x:v>
      </x:c>
    </x:row>
    <x:row r="7" ht="78" customHeight="1">
      <x:c r="A7" s="70" t="str">
        <x:v>Explainable safe-to-spend confidence</x:v>
      </x:c>
      <x:c r="B7" s="70" t="str">
        <x:v>Wollie promise + repeated demand for one number; PocketSmith proves category exists</x:v>
      </x:c>
      <x:c r="C7" s="70" t="str">
        <x:v>One trusted number with a transparent bill/budget/review breakdown</x:v>
      </x:c>
      <x:c r="D7" s="70" t="n">
        <x:v>5</x:v>
      </x:c>
      <x:c r="E7" s="70" t="n">
        <x:v>4</x:v>
      </x:c>
      <x:c r="F7" s="70" t="n">
        <x:v>4</x:v>
      </x:c>
      <x:c r="G7" s="70" t="n">
        <x:v>5</x:v>
      </x:c>
      <x:c r="H7" s="70" t="n">
        <x:v>5</x:v>
      </x:c>
      <x:c r="I7" s="73" t="n">
        <x:f>SUMPRODUCT(D7:H7,$D$3:$H$3)/(5*SUM($D$3:$H$3))</x:f>
        <x:v>0.91</x:v>
      </x:c>
      <x:c r="J7" s="70" t="str">
        <x:v>0–3 months</x:v>
      </x:c>
      <x:c r="K7" s="70" t="str">
        <x:v>Calculation waterfall; confidence badge; unresolved-data deductions; “why changed” history</x:v>
      </x:c>
      <x:c r="L7" s="70" t="str">
        <x:v>Do not present a precise number when data is stale or incomplete</x:v>
      </x:c>
    </x:row>
    <x:row r="8" ht="78" customHeight="1">
      <x:c r="A8" s="70" t="str">
        <x:v>First-class household ownership</x:v>
      </x:c>
      <x:c r="B8" s="70" t="str">
        <x:v>EU Reddit users cannot split joint-account economics correctly</x:v>
      </x:c>
      <x:c r="C8" s="70" t="str">
        <x:v>See mine, yours and ours without external split apps</x:v>
      </x:c>
      <x:c r="D8" s="70" t="n">
        <x:v>5</x:v>
      </x:c>
      <x:c r="E8" s="70" t="n">
        <x:v>5</x:v>
      </x:c>
      <x:c r="F8" s="70" t="n">
        <x:v>3</x:v>
      </x:c>
      <x:c r="G8" s="70" t="n">
        <x:v>4</x:v>
      </x:c>
      <x:c r="H8" s="70" t="n">
        <x:v>5</x:v>
      </x:c>
      <x:c r="I8" s="73" t="n">
        <x:f>SUMPRODUCT(D8:H8,$D$3:$H$3)/(5*SUM($D$3:$H$3))</x:f>
        <x:v>0.89</x:v>
      </x:c>
      <x:c r="J8" s="70" t="str">
        <x:v>3–6 months</x:v>
      </x:c>
      <x:c r="K8" s="70" t="str">
        <x:v>Partner invite; account ownership ratio; split/exclude; joint vs personal safe-to-spend</x:v>
      </x:c>
      <x:c r="L8" s="70" t="str">
        <x:v>Do not call basic shared login “household support”</x:v>
      </x:c>
    </x:row>
    <x:row r="9" ht="78" customHeight="1">
      <x:c r="A9" s="70" t="str">
        <x:v>Teach-once categorization</x:v>
      </x:c>
      <x:c r="B9" s="70" t="str">
        <x:v>Users repeatedly redo identical fixes across products</x:v>
      </x:c>
      <x:c r="C9" s="70" t="str">
        <x:v>Correct once; apply to similar history and future automatically</x:v>
      </x:c>
      <x:c r="D9" s="70" t="n">
        <x:v>5</x:v>
      </x:c>
      <x:c r="E9" s="70" t="n">
        <x:v>4</x:v>
      </x:c>
      <x:c r="F9" s="70" t="n">
        <x:v>4</x:v>
      </x:c>
      <x:c r="G9" s="70" t="n">
        <x:v>4</x:v>
      </x:c>
      <x:c r="H9" s="70" t="n">
        <x:v>5</x:v>
      </x:c>
      <x:c r="I9" s="73" t="n">
        <x:f>SUMPRODUCT(D9:H9,$D$3:$H$3)/(5*SUM($D$3:$H$3))</x:f>
        <x:v>0.88</x:v>
      </x:c>
      <x:c r="J9" s="70" t="str">
        <x:v>0–3 months</x:v>
      </x:c>
      <x:c r="K9" s="70" t="str">
        <x:v>Bulk similar selection; explainable rule preview; undo; merchant normalization</x:v>
      </x:c>
      <x:c r="L9" s="70" t="str">
        <x:v>Avoid opaque AI that silently rewrites history</x:v>
      </x:c>
    </x:row>
    <x:row r="10" ht="78" customHeight="1">
      <x:c r="A10" s="70" t="str">
        <x:v>Transparent service status &amp; support</x:v>
      </x:c>
      <x:c r="B10" s="70" t="str">
        <x:v>Slow support and provider ambiguity destroy trust</x:v>
      </x:c>
      <x:c r="C10" s="70" t="str">
        <x:v>Know whether an issue is Wollie, provider or bank—and when it will recover</x:v>
      </x:c>
      <x:c r="D10" s="70" t="n">
        <x:v>4</x:v>
      </x:c>
      <x:c r="E10" s="70" t="n">
        <x:v>5</x:v>
      </x:c>
      <x:c r="F10" s="70" t="n">
        <x:v>4</x:v>
      </x:c>
      <x:c r="G10" s="70" t="n">
        <x:v>5</x:v>
      </x:c>
      <x:c r="H10" s="70" t="n">
        <x:v>4</x:v>
      </x:c>
      <x:c r="I10" s="73" t="n">
        <x:f>SUMPRODUCT(D10:H10,$D$3:$H$3)/(5*SUM($D$3:$H$3))</x:f>
        <x:v>0.88</x:v>
      </x:c>
      <x:c r="J10" s="70" t="str">
        <x:v>0–3 months</x:v>
      </x:c>
      <x:c r="K10" s="70" t="str">
        <x:v>Status page; provider labels; incident copy; support response target; in-app diagnostics</x:v>
      </x:c>
      <x:c r="L10" s="70" t="str">
        <x:v>Do not hide outages behind generic error copy</x:v>
      </x:c>
    </x:row>
    <x:row r="11" ht="78" customHeight="1">
      <x:c r="A11" s="70" t="str">
        <x:v>Full-fidelity backup and restore</x:v>
      </x:c>
      <x:c r="B11" s="70" t="str">
        <x:v>Wallet deletion/restore complaints; continuity concern for indie apps</x:v>
      </x:c>
      <x:c r="C11" s="70" t="str">
        <x:v>Leave safely, recover mistakes and trust the company more</x:v>
      </x:c>
      <x:c r="D11" s="70" t="n">
        <x:v>4</x:v>
      </x:c>
      <x:c r="E11" s="70" t="n">
        <x:v>4</x:v>
      </x:c>
      <x:c r="F11" s="70" t="n">
        <x:v>4</x:v>
      </x:c>
      <x:c r="G11" s="70" t="n">
        <x:v>5</x:v>
      </x:c>
      <x:c r="H11" s="70" t="n">
        <x:v>4</x:v>
      </x:c>
      <x:c r="I11" s="73" t="n">
        <x:f>SUMPRODUCT(D11:H11,$D$3:$H$3)/(5*SUM($D$3:$H$3))</x:f>
        <x:v>0.83</x:v>
      </x:c>
      <x:c r="J11" s="70" t="str">
        <x:v>0–3 months</x:v>
      </x:c>
      <x:c r="K11" s="70" t="str">
        <x:v>Versioned export/import; soft deletion; restore test; documented schema</x:v>
      </x:c>
      <x:c r="L11" s="70" t="str">
        <x:v>An export-only checkbox is not portability</x:v>
      </x:c>
    </x:row>
    <x:row r="12" ht="78" customHeight="1">
      <x:c r="A12" s="70" t="str">
        <x:v>Bank-first starter plan</x:v>
      </x:c>
      <x:c r="B12" s="70" t="str">
        <x:v>Large category forms cause abandonment</x:v>
      </x:c>
      <x:c r="C12" s="70" t="str">
        <x:v>Connect, review a few unclear items, accept a suggested monthly plan</x:v>
      </x:c>
      <x:c r="D12" s="70" t="n">
        <x:v>4</x:v>
      </x:c>
      <x:c r="E12" s="70" t="n">
        <x:v>4</x:v>
      </x:c>
      <x:c r="F12" s="70" t="n">
        <x:v>4</x:v>
      </x:c>
      <x:c r="G12" s="70" t="n">
        <x:v>4</x:v>
      </x:c>
      <x:c r="H12" s="70" t="n">
        <x:v>5</x:v>
      </x:c>
      <x:c r="I12" s="73" t="n">
        <x:f>SUMPRODUCT(D12:H12,$D$3:$H$3)/(5*SUM($D$3:$H$3))</x:f>
        <x:v>0.82</x:v>
      </x:c>
      <x:c r="J12" s="70" t="str">
        <x:v>0–3 months</x:v>
      </x:c>
      <x:c r="K12" s="70" t="str">
        <x:v>Data-driven baseline; three-step plan; user confirms bills and flexible spending</x:v>
      </x:c>
      <x:c r="L12" s="70" t="str">
        <x:v>Do not force zero-based setup or 20 empty categories</x:v>
      </x:c>
    </x:row>
    <x:row r="13" ht="78" customHeight="1">
      <x:c r="A13" s="70" t="str">
        <x:v>EU multi-country and currency path</x:v>
      </x:c>
      <x:c r="B13" s="70" t="str">
        <x:v>Cross-border accounts remain a visible gap</x:v>
      </x:c>
      <x:c r="C13" s="70" t="str">
        <x:v>See accounts across European countries and currencies without falling back to Excel</x:v>
      </x:c>
      <x:c r="D13" s="70" t="n">
        <x:v>5</x:v>
      </x:c>
      <x:c r="E13" s="70" t="n">
        <x:v>4</x:v>
      </x:c>
      <x:c r="F13" s="70" t="n">
        <x:v>2</x:v>
      </x:c>
      <x:c r="G13" s="70" t="n">
        <x:v>4</x:v>
      </x:c>
      <x:c r="H13" s="70" t="n">
        <x:v>5</x:v>
      </x:c>
      <x:c r="I13" s="73" t="n">
        <x:f>SUMPRODUCT(D13:H13,$D$3:$H$3)/(5*SUM($D$3:$H$3))</x:f>
        <x:v>0.8</x:v>
      </x:c>
      <x:c r="J13" s="70" t="str">
        <x:v>6–12 months</x:v>
      </x:c>
      <x:c r="K13" s="70" t="str">
        <x:v>Coverage checker; currency-aware balances; explicit FX rules; second provider where needed</x:v>
      </x:c>
      <x:c r="L13" s="70" t="str">
        <x:v>Do not market “Europe” from a five-country selector alone</x:v>
      </x:c>
    </x:row>
    <x:row r="14" ht="78" customHeight="1">
      <x:c r="A14" s="70" t="str">
        <x:v>Outcome-anchored simple pricing</x:v>
      </x:c>
      <x:c r="B14" s="70" t="str">
        <x:v>€59 is mid-market but Wallet lifetime and Spendee undercut it</x:v>
      </x:c>
      <x:c r="C14" s="70" t="str">
        <x:v>Understand the time and anxiety saved during the trial</x:v>
      </x:c>
      <x:c r="D14" s="70" t="n">
        <x:v>4</x:v>
      </x:c>
      <x:c r="E14" s="70" t="n">
        <x:v>3</x:v>
      </x:c>
      <x:c r="F14" s="70" t="n">
        <x:v>5</x:v>
      </x:c>
      <x:c r="G14" s="70" t="n">
        <x:v>4</x:v>
      </x:c>
      <x:c r="H14" s="70" t="n">
        <x:v>4</x:v>
      </x:c>
      <x:c r="I14" s="73" t="n">
        <x:f>SUMPRODUCT(D14:H14,$D$3:$H$3)/(5*SUM($D$3:$H$3))</x:f>
        <x:v>0.79</x:v>
      </x:c>
      <x:c r="J14" s="70" t="str">
        <x:v>0–3 months</x:v>
      </x:c>
      <x:c r="K14" s="70" t="str">
        <x:v>One plan; annual default; bank coverage before signup; trial success checklist</x:v>
      </x:c>
      <x:c r="L14" s="70" t="str">
        <x:v>Avoid a feature maze or discounts that undermine trust</x:v>
      </x:c>
    </x:row>
    <x:row r="15" ht="78" customHeight="1">
      <x:c r="A15" s="70" t="str">
        <x:v>Plain-English weekly money check-in</x:v>
      </x:c>
      <x:c r="B15" s="70" t="str">
        <x:v>Users want guidance without a finance super-app</x:v>
      </x:c>
      <x:c r="C15" s="70" t="str">
        <x:v>Review what changed, what needs attention and what is safe this week</x:v>
      </x:c>
      <x:c r="D15" s="70" t="n">
        <x:v>4</x:v>
      </x:c>
      <x:c r="E15" s="70" t="n">
        <x:v>4</x:v>
      </x:c>
      <x:c r="F15" s="70" t="n">
        <x:v>4</x:v>
      </x:c>
      <x:c r="G15" s="70" t="n">
        <x:v>4</x:v>
      </x:c>
      <x:c r="H15" s="70" t="n">
        <x:v>5</x:v>
      </x:c>
      <x:c r="I15" s="73" t="n">
        <x:f>SUMPRODUCT(D15:H15,$D$3:$H$3)/(5*SUM($D$3:$H$3))</x:f>
        <x:v>0.82</x:v>
      </x:c>
      <x:c r="J15" s="70" t="str">
        <x:v>3–6 months</x:v>
      </x:c>
      <x:c r="K15" s="70" t="str">
        <x:v>Deterministic summary first; source links; optional AI phrasing later</x:v>
      </x:c>
      <x:c r="L15" s="70" t="str">
        <x:v>Do not lead with an AI chat gimmick</x:v>
      </x:c>
    </x:row>
    <x:row r="16" ht="78" customHeight="1">
      <x:c r="A16" s="70" t="str">
        <x:v>Irregular obligation runway</x:v>
      </x:c>
      <x:c r="B16" s="70" t="str">
        <x:v>Annual bills and large purchases make monthly budgets lie</x:v>
      </x:c>
      <x:c r="C16" s="70" t="str">
        <x:v>Reserve non-monthly obligations before they silently consume spendable money</x:v>
      </x:c>
      <x:c r="D16" s="70" t="n">
        <x:v>4</x:v>
      </x:c>
      <x:c r="E16" s="70" t="n">
        <x:v>3</x:v>
      </x:c>
      <x:c r="F16" s="70" t="n">
        <x:v>3</x:v>
      </x:c>
      <x:c r="G16" s="70" t="n">
        <x:v>4</x:v>
      </x:c>
      <x:c r="H16" s="70" t="n">
        <x:v>4</x:v>
      </x:c>
      <x:c r="I16" s="73" t="n">
        <x:f>SUMPRODUCT(D16:H16,$D$3:$H$3)/(5*SUM($D$3:$H$3))</x:f>
        <x:v>0.71</x:v>
      </x:c>
      <x:c r="J16" s="70" t="str">
        <x:v>3–6 months</x:v>
      </x:c>
      <x:c r="K16" s="70" t="str">
        <x:v>Planned expenses, sinking funds, BNPL installments, runway impact</x:v>
      </x:c>
      <x:c r="L16" s="70" t="str">
        <x:v>Avoid retirement forecasting and investment scope creep</x:v>
      </x:c>
    </x:row>
    <x:row r="17" ht="78" customHeight="1">
      <x:c r="A17" s="71" t="str">
        <x:v>Mobile habit parity</x:v>
      </x:c>
      <x:c r="B17" s="71" t="str">
        <x:v>Finance review is frequent and phone-heavy</x:v>
      </x:c>
      <x:c r="C17" s="71" t="str">
        <x:v>Review, correct and trust the same money state on phone and desktop</x:v>
      </x:c>
      <x:c r="D17" s="71" t="n">
        <x:v>4</x:v>
      </x:c>
      <x:c r="E17" s="71" t="n">
        <x:v>2</x:v>
      </x:c>
      <x:c r="F17" s="71" t="n">
        <x:v>2</x:v>
      </x:c>
      <x:c r="G17" s="71" t="n">
        <x:v>3</x:v>
      </x:c>
      <x:c r="H17" s="71" t="n">
        <x:v>4</x:v>
      </x:c>
      <x:c r="I17" s="74" t="n">
        <x:f>SUMPRODUCT(D17:H17,$D$3:$H$3)/(5*SUM($D$3:$H$3))</x:f>
        <x:v>0.59</x:v>
      </x:c>
      <x:c r="J17" s="71" t="str">
        <x:v>6–12 months</x:v>
      </x:c>
      <x:c r="K17" s="71" t="str">
        <x:v>Installable PWA; offline review queue; native wrapper only if retention supports it</x:v>
      </x:c>
      <x:c r="L17" s="71" t="str">
        <x:v>Do not build native apps before the core loop is proven</x:v>
      </x:c>
    </x:row>
  </x:sheetData>
  <x:mergeCells>
    <x:mergeCell ref="A1:L1"/>
    <x:mergeCell ref="A2:L2"/>
  </x:mergeCells>
  <x:conditionalFormatting sqref="I6:I17">
    <x:cfRule type="dataBar" priority="1">
      <x:dataBar>
        <x:cfvo type="min"/>
        <x:cfvo type="max"/>
        <x:color rgb="FF087F5B"/>
      </x:dataBar>
      <x:extLst>
        <x:ext xmlns:x14="http://schemas.microsoft.com/office/spreadsheetml/2009/9/main" uri="{B025F937-C7B1-47D3-B67F-A62EFF666E3E}">
          <x14:id>{9081E7C7-B4F6-BA0F-B472-B09BB53A0A01}</x14:id>
        </x:ext>
      </x:extLst>
    </x:cfRule>
  </x:conditionalFormatting>
  <x:dataValidations count="1">
    <x:dataValidation type="list" sqref="J6:J17">
      <x:formula1>"0–3 months,3–6 months,6–12 months"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94e1be003340a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081E7C7-B4F6-BA0F-B472-B09BB53A0A01}">
            <x14:dataBar gradient="1">
              <x14:cfvo type="min"/>
              <x14:cfvo type="max"/>
              <x14:fillColor rgb="FF087F5B"/>
            </x14:dataBar>
          </x14:cfRule>
          <xm:sqref>I6:I17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58" hidden="0" customWidth="1"/>
  </x:cols>
  <x:sheetData>
    <x:row r="1" ht="34" customHeight="1">
      <x:c r="A1" s="89" t="str">
        <x:v>Positioning recommendation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Position Wollie around a specific European household outcome—not around generic aggregation, “AI”, or feature breadth</x:v>
      </x:c>
      <x:c r="B2" s="7"/>
      <x:c r="C2" s="7"/>
      <x:c r="D2" s="7"/>
      <x:c r="E2" s="7"/>
      <x:c r="F2" s="7"/>
      <x:c r="G2" s="7"/>
      <x:c r="H2" s="7"/>
    </x:row>
    <x:row r="4">
      <x:c r="A4" s="23" t="str">
        <x:v>Recommended position</x:v>
      </x:c>
      <x:c r="B4" s="23"/>
      <x:c r="C4" s="23"/>
      <x:c r="D4" s="23"/>
      <x:c r="E4" s="23"/>
      <x:c r="F4" s="23"/>
      <x:c r="G4" s="23"/>
      <x:c r="H4" s="23"/>
    </x:row>
    <x:row r="5">
      <x:c r="A5" s="88" t="str">
        <x:v>Wollie gives European households one trustworthy number for what they can spend—after bills, budgets and shared expenses.</x:v>
      </x:c>
      <x:c r="B5" s="88"/>
      <x:c r="C5" s="88"/>
      <x:c r="D5" s="88"/>
      <x:c r="E5" s="88"/>
      <x:c r="F5" s="88"/>
      <x:c r="G5" s="88"/>
      <x:c r="H5" s="88"/>
    </x:row>
    <x:row r="6">
      <x:c r="A6" s="88"/>
      <x:c r="B6" s="88"/>
      <x:c r="C6" s="88"/>
      <x:c r="D6" s="88"/>
      <x:c r="E6" s="88"/>
      <x:c r="F6" s="88"/>
      <x:c r="G6" s="88"/>
      <x:c r="H6" s="88"/>
    </x:row>
    <x:row r="7">
      <x:c r="A7" s="88"/>
      <x:c r="B7" s="88"/>
      <x:c r="C7" s="88"/>
      <x:c r="D7" s="88"/>
      <x:c r="E7" s="88"/>
      <x:c r="F7" s="88"/>
      <x:c r="G7" s="88"/>
      <x:c r="H7" s="88"/>
    </x:row>
    <x:row r="9">
      <x:c r="A9" s="23" t="str">
        <x:v>Positioning choices</x:v>
      </x:c>
      <x:c r="B9" s="23"/>
      <x:c r="C9" s="23"/>
      <x:c r="D9" s="23"/>
      <x:c r="E9" s="23"/>
      <x:c r="F9" s="23"/>
      <x:c r="G9" s="23"/>
      <x:c r="H9" s="23"/>
    </x:row>
    <x:row r="10" ht="32" customHeight="1">
      <x:c r="A10" s="41" t="str">
        <x:v>Decision</x:v>
      </x:c>
      <x:c r="B10" s="41" t="str">
        <x:v>Recommendation</x:v>
      </x:c>
      <x:c r="C10" s="41" t="str">
        <x:v>Why</x:v>
      </x:c>
    </x:row>
    <x:row r="11" ht="58" customHeight="1">
      <x:c r="A11" s="45" t="str">
        <x:v>Beachhead</x:v>
      </x:c>
      <x:c r="B11" s="45" t="str">
        <x:v>Continental European couples / households with two or more accounts who want control but reject spreadsheet or zero-based-budget maintenance.</x:v>
      </x:c>
      <x:c r="C11" s="45" t="str">
        <x:v>Narrow enough to create tailored shared-money and coverage proof.</x:v>
      </x:c>
    </x:row>
    <x:row r="12" ht="58" customHeight="1">
      <x:c r="A12" s="45" t="str">
        <x:v>Category</x:v>
      </x:c>
      <x:c r="B12" s="45" t="str">
        <x:v>A calm European household money control app.</x:v>
      </x:c>
      <x:c r="C12" s="45" t="str">
        <x:v>Avoid “all-in-one personal finance” and “budget tracker”; both are saturated.</x:v>
      </x:c>
    </x:row>
    <x:row r="13" ht="58" customHeight="1">
      <x:c r="A13" s="45" t="str">
        <x:v>Core promise</x:v>
      </x:c>
      <x:c r="B13" s="45" t="str">
        <x:v>Know what is safe to spend—and why.</x:v>
      </x:c>
      <x:c r="C13" s="45" t="str">
        <x:v>The explanation and confidence state are part of the feature.</x:v>
      </x:c>
    </x:row>
    <x:row r="14" ht="58" customHeight="1">
      <x:c r="A14" s="45" t="str">
        <x:v>Proof 1</x:v>
      </x:c>
      <x:c r="B14" s="45" t="str">
        <x:v>Freshness and sync status for every account.</x:v>
      </x:c>
      <x:c r="C14" s="45" t="str">
        <x:v>Turns a hidden failure mode into visible trust.</x:v>
      </x:c>
    </x:row>
    <x:row r="15" ht="58" customHeight="1">
      <x:c r="A15" s="45" t="str">
        <x:v>Proof 2</x:v>
      </x:c>
      <x:c r="B15" s="45" t="str">
        <x:v>Mine / yours / ours with ownership ratios.</x:v>
      </x:c>
      <x:c r="C15" s="45" t="str">
        <x:v>Creates separation from Bilance, Wallet and simple shared logins.</x:v>
      </x:c>
    </x:row>
    <x:row r="16" ht="58" customHeight="1">
      <x:c r="A16" s="45" t="str">
        <x:v>Proof 3</x:v>
      </x:c>
      <x:c r="B16" s="45" t="str">
        <x:v>Correct a category once; Wollie fixes similar transactions with preview and undo.</x:v>
      </x:c>
      <x:c r="C16" s="45" t="str">
        <x:v>Directly answers repeated Reddit pain.</x:v>
      </x:c>
    </x:row>
    <x:row r="17" ht="58" customHeight="1">
      <x:c r="A17" s="45" t="str">
        <x:v>Price story</x:v>
      </x:c>
      <x:c r="B17" s="45" t="str">
        <x:v>One complete plan at €59/year, priced below complex leaders.</x:v>
      </x:c>
      <x:c r="C17" s="45" t="str">
        <x:v>Lead with saved time and reliable coverage, not a longer feature checklist.</x:v>
      </x:c>
    </x:row>
    <x:row r="18" ht="58" customHeight="1">
      <x:c r="A18" s="45" t="str">
        <x:v>Avoid segment</x:v>
      </x:c>
      <x:c r="B18" s="45" t="str">
        <x:v>Strict envelope-method devotees, investment/tax power users, users needing 60-year forecasts.</x:v>
      </x:c>
      <x:c r="C18" s="45" t="str">
        <x:v>YNAB, Actual, MoneyWiz and PocketSmith already win those jobs.</x:v>
      </x:c>
    </x:row>
    <x:row r="21">
      <x:c r="A21" s="23" t="str">
        <x:v>Messaging options</x:v>
      </x:c>
      <x:c r="B21" s="23"/>
      <x:c r="C21" s="23"/>
      <x:c r="D21" s="23"/>
      <x:c r="E21" s="23"/>
      <x:c r="F21" s="23"/>
      <x:c r="G21" s="23"/>
      <x:c r="H21" s="23"/>
    </x:row>
    <x:row r="22" ht="32" customHeight="1">
      <x:c r="A22" s="41" t="str">
        <x:v>Use</x:v>
      </x:c>
      <x:c r="B22" s="41" t="str">
        <x:v>Copy</x:v>
      </x:c>
      <x:c r="C22" s="41" t="str">
        <x:v>Proof requirement</x:v>
      </x:c>
    </x:row>
    <x:row r="23" ht="52" customHeight="1">
      <x:c r="A23" s="45" t="str">
        <x:v>Primary headline</x:v>
      </x:c>
      <x:c r="B23" s="45" t="str">
        <x:v>Know what you can spend. Trust why.</x:v>
      </x:c>
      <x:c r="C23" s="45" t="str">
        <x:v>Best after sync confidence and explanation ship.</x:v>
      </x:c>
    </x:row>
    <x:row r="24" ht="52" customHeight="1">
      <x:c r="A24" s="45" t="str">
        <x:v>EU proof line</x:v>
      </x:c>
      <x:c r="B24" s="45" t="str">
        <x:v>Your European accounts, bills and shared spending—kept in one clear monthly plan.</x:v>
      </x:c>
      <x:c r="C24" s="45" t="str">
        <x:v>Use only with public coverage checker.</x:v>
      </x:c>
    </x:row>
    <x:row r="25" ht="52" customHeight="1">
      <x:c r="A25" s="45" t="str">
        <x:v>Household line</x:v>
      </x:c>
      <x:c r="B25" s="45" t="str">
        <x:v>Mine, yours and ours—without the spreadsheet.</x:v>
      </x:c>
      <x:c r="C25" s="45" t="str">
        <x:v>Use after ownership ratios and partner mode.</x:v>
      </x:c>
    </x:row>
    <x:row r="26" ht="52" customHeight="1">
      <x:c r="A26" s="45" t="str">
        <x:v>Trial CTA</x:v>
      </x:c>
      <x:c r="B26" s="45" t="str">
        <x:v>Connect an account. See your real monthly picture in minutes.</x:v>
      </x:c>
      <x:c r="C26" s="45" t="str">
        <x:v>Better than “Explore every feature.”</x:v>
      </x:c>
    </x:row>
    <x:row r="27" ht="52" customHeight="1">
      <x:c r="A27" s="45" t="str">
        <x:v>Trust line</x:v>
      </x:c>
      <x:c r="B27" s="45" t="str">
        <x:v>Read-only access. Clear permissions. Export or delete your data anytime.</x:v>
      </x:c>
      <x:c r="C27" s="45" t="str">
        <x:v>Must link to precise privacy controls.</x:v>
      </x:c>
    </x:row>
  </x:sheetData>
  <x:mergeCells>
    <x:mergeCell ref="A1:H1"/>
    <x:mergeCell ref="A2:H2"/>
    <x:mergeCell ref="A4:H4"/>
    <x:mergeCell ref="A5:H7"/>
    <x:mergeCell ref="A9:H9"/>
    <x:mergeCell ref="A21:H21"/>
  </x:mergeCells>
  <x:pageMargins left="0.7" right="0.7" top="0.75" bottom="0.75" header="0.3" footer="0.3"/>
  <x:tableParts count="2">
    <x:tablePart xmlns:r="http://schemas.openxmlformats.org/officeDocument/2006/relationships" r:id="Rbf830c7c22584611"/>
    <x:tablePart xmlns:r="http://schemas.openxmlformats.org/officeDocument/2006/relationships" r:id="Rd3c95bec1fa747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82" hidden="0" customWidth="1"/>
    <x:col min="5" max="5" width="62" hidden="0" customWidth="1"/>
    <x:col min="6" max="6" width="14" hidden="0" customWidth="1"/>
  </x:cols>
  <x:sheetData>
    <x:row r="1" ht="34" customHeight="1">
      <x:c r="A1" s="89" t="str">
        <x:v>Source index</x:v>
      </x:c>
      <x:c r="B1" s="3"/>
      <x:c r="C1" s="3"/>
      <x:c r="D1" s="3"/>
      <x:c r="E1" s="3"/>
    </x:row>
    <x:row r="2" ht="30" customHeight="1">
      <x:c r="A2" s="7" t="str">
        <x:v>Primary sources were preferred for product facts; Reddit is stored row-by-row on the Reddit Evidence sheet. Accessed 2026-07-15.</x:v>
      </x:c>
      <x:c r="B2" s="7"/>
      <x:c r="C2" s="7"/>
      <x:c r="D2" s="7"/>
      <x:c r="E2" s="7"/>
    </x:row>
    <x:row r="5" ht="32" customHeight="1">
      <x:c r="A5" s="41" t="str">
        <x:v>ID</x:v>
      </x:c>
      <x:c r="B5" s="41" t="str">
        <x:v>Type</x:v>
      </x:c>
      <x:c r="C5" s="41" t="str">
        <x:v>Title</x:v>
      </x:c>
      <x:c r="D5" s="41" t="str">
        <x:v>URL / local source</x:v>
      </x:c>
      <x:c r="E5" s="41" t="str">
        <x:v>Claims supported</x:v>
      </x:c>
      <x:c r="F5" s="41" t="str">
        <x:v>Accessed</x:v>
      </x:c>
    </x:row>
    <x:row r="6" ht="52" customHeight="1">
      <x:c r="A6" s="45" t="n">
        <x:v>1</x:v>
      </x:c>
      <x:c r="B6" s="45" t="str">
        <x:v>Internal</x:v>
      </x:c>
      <x:c r="C6" s="45" t="str">
        <x:v>Wollie product definition</x:v>
      </x:c>
      <x:c r="D6" s="45" t="str">
        <x:v>/Users/liya/Projects/wollie/PRODUCT.md</x:v>
      </x:c>
      <x:c r="E6" s="45" t="str">
        <x:v>Target user, purpose, calm design principles</x:v>
      </x:c>
      <x:c r="F6" s="75" t="n">
        <x:v>46218.5</x:v>
      </x:c>
    </x:row>
    <x:row r="7" ht="52" customHeight="1">
      <x:c r="A7" s="45" t="n">
        <x:v>2</x:v>
      </x:c>
      <x:c r="B7" s="45" t="str">
        <x:v>Internal</x:v>
      </x:c>
      <x:c r="C7" s="45" t="str">
        <x:v>Wollie implementation plan</x:v>
      </x:c>
      <x:c r="D7" s="45" t="str">
        <x:v>/Users/liya/Projects/wollie/docs/plans/2026-07-13-bank-sync-budgeting-app-plan.md</x:v>
      </x:c>
      <x:c r="E7" s="45" t="str">
        <x:v>Current scope, provider strategy and non-goals</x:v>
      </x:c>
      <x:c r="F7" s="75" t="n">
        <x:v>46218.5</x:v>
      </x:c>
    </x:row>
    <x:row r="8" ht="52" customHeight="1">
      <x:c r="A8" s="45" t="n">
        <x:v>3</x:v>
      </x:c>
      <x:c r="B8" s="45" t="str">
        <x:v>Internal</x:v>
      </x:c>
      <x:c r="C8" s="45" t="str">
        <x:v>Wollie pricing decision</x:v>
      </x:c>
      <x:c r="D8" s="45" t="str">
        <x:v>/Users/liya/Projects/wollie/docs/brainstorms/2026-07-15-wollie-pricing-stripe-brainstorm.md</x:v>
      </x:c>
      <x:c r="E8" s="45" t="str">
        <x:v>€7.99 monthly, €59 yearly, 14-day no-card trial</x:v>
      </x:c>
      <x:c r="F8" s="75" t="n">
        <x:v>46218.5</x:v>
      </x:c>
    </x:row>
    <x:row r="9" ht="52" customHeight="1">
      <x:c r="A9" s="45" t="n">
        <x:v>4</x:v>
      </x:c>
      <x:c r="B9" s="45" t="str">
        <x:v>Internal</x:v>
      </x:c>
      <x:c r="C9" s="45" t="str">
        <x:v>Wollie live dashboard route</x:v>
      </x:c>
      <x:c r="D9" s="45" t="str">
        <x:v>/Users/liya/Projects/wollie/src/routes/app/index.tsx</x:v>
      </x:c>
      <x:c r="E9" s="45" t="str">
        <x:v>Safe-to-spend, review queue, detected bills and dashboard behavior</x:v>
      </x:c>
      <x:c r="F9" s="75" t="n">
        <x:v>46218.5</x:v>
      </x:c>
    </x:row>
    <x:row r="10" ht="52" customHeight="1">
      <x:c r="A10" s="45" t="n">
        <x:v>5</x:v>
      </x:c>
      <x:c r="B10" s="45" t="str">
        <x:v>Official</x:v>
      </x:c>
      <x:c r="C10" s="45" t="str">
        <x:v>YNAB pricing</x:v>
      </x:c>
      <x:c r="D10" s="45" t="str">
        <x:v>https://www.ynab.com/pricing</x:v>
      </x:c>
      <x:c r="E10" s="45" t="str">
        <x:v>Price, trial, household sharing, selected EU support, single-currency limit</x:v>
      </x:c>
      <x:c r="F10" s="75" t="n">
        <x:v>46218.5</x:v>
      </x:c>
    </x:row>
    <x:row r="11" ht="52" customHeight="1">
      <x:c r="A11" s="45" t="n">
        <x:v>6</x:v>
      </x:c>
      <x:c r="B11" s="45" t="str">
        <x:v>Official</x:v>
      </x:c>
      <x:c r="C11" s="45" t="str">
        <x:v>YNAB features</x:v>
      </x:c>
      <x:c r="D11" s="45" t="str">
        <x:v>https://www.ynab.com/features</x:v>
      </x:c>
      <x:c r="E11" s="45" t="str">
        <x:v>Bank import, reports, goals, apps and review signal</x:v>
      </x:c>
      <x:c r="F11" s="75" t="n">
        <x:v>46218.5</x:v>
      </x:c>
    </x:row>
    <x:row r="12" ht="52" customHeight="1">
      <x:c r="A12" s="45" t="n">
        <x:v>7</x:v>
      </x:c>
      <x:c r="B12" s="45" t="str">
        <x:v>Official</x:v>
      </x:c>
      <x:c r="C12" s="45" t="str">
        <x:v>BudgetBakers company facts</x:v>
      </x:c>
      <x:c r="D12" s="45" t="str">
        <x:v>https://budgetbakers.com/en/about-us/</x:v>
      </x:c>
      <x:c r="E12" s="45" t="str">
        <x:v>Founded 2014, 5M+ downloads, 500K+ paying</x:v>
      </x:c>
      <x:c r="F12" s="75" t="n">
        <x:v>46218.5</x:v>
      </x:c>
    </x:row>
    <x:row r="13" ht="52" customHeight="1">
      <x:c r="A13" s="45" t="n">
        <x:v>8</x:v>
      </x:c>
      <x:c r="B13" s="45" t="str">
        <x:v>Official</x:v>
      </x:c>
      <x:c r="C13" s="45" t="str">
        <x:v>Wallet product</x:v>
      </x:c>
      <x:c r="D13" s="45" t="str">
        <x:v>https://budgetbakers.com/en/products/wallet/</x:v>
      </x:c>
      <x:c r="E13" s="45" t="str">
        <x:v>Features, imports, multi-currency, business model</x:v>
      </x:c>
      <x:c r="F13" s="75" t="n">
        <x:v>46218.5</x:v>
      </x:c>
    </x:row>
    <x:row r="14" ht="52" customHeight="1">
      <x:c r="A14" s="45" t="n">
        <x:v>9</x:v>
      </x:c>
      <x:c r="B14" s="45" t="str">
        <x:v>Official</x:v>
      </x:c>
      <x:c r="C14" s="45" t="str">
        <x:v>Wallet bank sync</x:v>
      </x:c>
      <x:c r="D14" s="45" t="str">
        <x:v>https://budgetbakers.com/en/products/wallet/features/bank-sync/</x:v>
      </x:c>
      <x:c r="E14" s="45" t="str">
        <x:v>15K+ institutions, read-only, daily sync, security claims</x:v>
      </x:c>
      <x:c r="F14" s="75" t="n">
        <x:v>46218.5</x:v>
      </x:c>
    </x:row>
    <x:row r="15" ht="52" customHeight="1">
      <x:c r="A15" s="45" t="n">
        <x:v>10</x:v>
      </x:c>
      <x:c r="B15" s="45" t="str">
        <x:v>Official</x:v>
      </x:c>
      <x:c r="C15" s="45" t="str">
        <x:v>Bilance homepage</x:v>
      </x:c>
      <x:c r="D15" s="45" t="str">
        <x:v>https://www.bilanceapp.com/</x:v>
      </x:c>
      <x:c r="E15" s="45" t="str">
        <x:v>100K+ users, EU positioning, core features</x:v>
      </x:c>
      <x:c r="F15" s="75" t="n">
        <x:v>46218.5</x:v>
      </x:c>
    </x:row>
    <x:row r="16" ht="52" customHeight="1">
      <x:c r="A16" s="45" t="n">
        <x:v>11</x:v>
      </x:c>
      <x:c r="B16" s="45" t="str">
        <x:v>App Store</x:v>
      </x:c>
      <x:c r="C16" s="45" t="str">
        <x:v>Bilance NL listing</x:v>
      </x:c>
      <x:c r="D16" s="45" t="str">
        <x:v>https://apps.apple.com/nl/app/bilance-geld-budget-kosten/id1570659711</x:v>
      </x:c>
      <x:c r="E16" s="45" t="str">
        <x:v>Example current subscription price and trial</x:v>
      </x:c>
      <x:c r="F16" s="75" t="n">
        <x:v>46218.5</x:v>
      </x:c>
    </x:row>
    <x:row r="17" ht="52" customHeight="1">
      <x:c r="A17" s="45" t="n">
        <x:v>12</x:v>
      </x:c>
      <x:c r="B17" s="45" t="str">
        <x:v>Official</x:v>
      </x:c>
      <x:c r="C17" s="45" t="str">
        <x:v>Spendee pricing</x:v>
      </x:c>
      <x:c r="D17" s="45" t="str">
        <x:v>https://www.spendee.com/pricing</x:v>
      </x:c>
      <x:c r="E17" s="45" t="str">
        <x:v>Price, trial and feature tiers</x:v>
      </x:c>
      <x:c r="F17" s="75" t="n">
        <x:v>46218.5</x:v>
      </x:c>
    </x:row>
    <x:row r="18" ht="52" customHeight="1">
      <x:c r="A18" s="45" t="n">
        <x:v>13</x:v>
      </x:c>
      <x:c r="B18" s="45" t="str">
        <x:v>Official</x:v>
      </x:c>
      <x:c r="C18" s="45" t="str">
        <x:v>Spendee bank connect</x:v>
      </x:c>
      <x:c r="D18" s="45" t="str">
        <x:v>https://www.spendee.com/bank-connect</x:v>
      </x:c>
      <x:c r="E18" s="45" t="str">
        <x:v>2,500+ providers and country list</x:v>
      </x:c>
      <x:c r="F18" s="75" t="n">
        <x:v>46218.5</x:v>
      </x:c>
    </x:row>
    <x:row r="19" ht="52" customHeight="1">
      <x:c r="A19" s="45" t="n">
        <x:v>14</x:v>
      </x:c>
      <x:c r="B19" s="45" t="str">
        <x:v>Official</x:v>
      </x:c>
      <x:c r="C19" s="45" t="str">
        <x:v>Spendee shared wallets help</x:v>
      </x:c>
      <x:c r="D19" s="45" t="str">
        <x:v>https://help.spendee.com/article/224-shared-wallets</x:v>
      </x:c>
      <x:c r="E19" s="45" t="str">
        <x:v>Shared-wallet limitations</x:v>
      </x:c>
      <x:c r="F19" s="75" t="n">
        <x:v>46218.5</x:v>
      </x:c>
    </x:row>
    <x:row r="20" ht="52" customHeight="1">
      <x:c r="A20" s="45" t="n">
        <x:v>15</x:v>
      </x:c>
      <x:c r="B20" s="45" t="str">
        <x:v>Official</x:v>
      </x:c>
      <x:c r="C20" s="45" t="str">
        <x:v>MoneyWiz product</x:v>
      </x:c>
      <x:c r="D20" s="45" t="str">
        <x:v>https://www.wiz.money/</x:v>
      </x:c>
      <x:c r="E20" s="45" t="str">
        <x:v>40K+ banks, platforms, power-user features</x:v>
      </x:c>
      <x:c r="F20" s="75" t="n">
        <x:v>46218.5</x:v>
      </x:c>
    </x:row>
    <x:row r="21" ht="52" customHeight="1">
      <x:c r="A21" s="45" t="n">
        <x:v>16</x:v>
      </x:c>
      <x:c r="B21" s="45" t="str">
        <x:v>Official</x:v>
      </x:c>
      <x:c r="C21" s="45" t="str">
        <x:v>MoneyWiz pricing</x:v>
      </x:c>
      <x:c r="D21" s="45" t="str">
        <x:v>https://www.wiz.money/pricing</x:v>
      </x:c>
      <x:c r="E21" s="45" t="str">
        <x:v>Premium and Standard pricing</x:v>
      </x:c>
      <x:c r="F21" s="75" t="n">
        <x:v>46218.5</x:v>
      </x:c>
    </x:row>
    <x:row r="22" ht="52" customHeight="1">
      <x:c r="A22" s="45" t="n">
        <x:v>17</x:v>
      </x:c>
      <x:c r="B22" s="45" t="str">
        <x:v>Official</x:v>
      </x:c>
      <x:c r="C22" s="45" t="str">
        <x:v>PocketSmith pricing</x:v>
      </x:c>
      <x:c r="D22" s="45" t="str">
        <x:v>https://www.pocketsmith.com/pricing/</x:v>
      </x:c>
      <x:c r="E22" s="45" t="str">
        <x:v>Plans, Safe Balance, currencies, feeds and forecasts</x:v>
      </x:c>
      <x:c r="F22" s="75" t="n">
        <x:v>46218.5</x:v>
      </x:c>
    </x:row>
    <x:row r="23" ht="52" customHeight="1">
      <x:c r="A23" s="45" t="n">
        <x:v>18</x:v>
      </x:c>
      <x:c r="B23" s="45" t="str">
        <x:v>Official</x:v>
      </x:c>
      <x:c r="C23" s="45" t="str">
        <x:v>Actual Budget product</x:v>
      </x:c>
      <x:c r="D23" s="45" t="str">
        <x:v>https://actualbudget.org/</x:v>
      </x:c>
      <x:c r="E23" s="45" t="str">
        <x:v>Open source, E2EE, envelopes and ownership</x:v>
      </x:c>
      <x:c r="F23" s="75" t="n">
        <x:v>46218.5</x:v>
      </x:c>
    </x:row>
    <x:row r="24" ht="52" customHeight="1">
      <x:c r="A24" s="45" t="n">
        <x:v>19</x:v>
      </x:c>
      <x:c r="B24" s="45" t="str">
        <x:v>Official</x:v>
      </x:c>
      <x:c r="C24" s="45" t="str">
        <x:v>Actual Budget bank sync docs</x:v>
      </x:c>
      <x:c r="D24" s="45" t="str">
        <x:v>https://actualbudget.org/docs/advanced/bank-sync/</x:v>
      </x:c>
      <x:c r="E24" s="45" t="str">
        <x:v>Providers, manual sync, credential and encryption caveats</x:v>
      </x:c>
      <x:c r="F24" s="75" t="n">
        <x:v>46218.5</x:v>
      </x:c>
    </x:row>
    <x:row r="25" ht="52" customHeight="1">
      <x:c r="A25" s="45" t="n">
        <x:v>20</x:v>
      </x:c>
      <x:c r="B25" s="45" t="str">
        <x:v>Official</x:v>
      </x:c>
      <x:c r="C25" s="45" t="str">
        <x:v>Snoop Plus</x:v>
      </x:c>
      <x:c r="D25" s="45" t="str">
        <x:v>https://test.snoop.app/plus/</x:v>
      </x:c>
      <x:c r="E25" s="45" t="str">
        <x:v>Price, feature comparison, mobile-only note</x:v>
      </x:c>
      <x:c r="F25" s="75" t="n">
        <x:v>46218.5</x:v>
      </x:c>
    </x:row>
    <x:row r="26" ht="52" customHeight="1">
      <x:c r="A26" s="45" t="n">
        <x:v>21</x:v>
      </x:c>
      <x:c r="B26" s="45" t="str">
        <x:v>Official</x:v>
      </x:c>
      <x:c r="C26" s="45" t="str">
        <x:v>Emma pricing</x:v>
      </x:c>
      <x:c r="D26" s="45" t="str">
        <x:v>https://help.emma-app.com/en/article/how-much-does-emma-plusproultimate-cost-1ywhulq/</x:v>
      </x:c>
      <x:c r="E26" s="45" t="str">
        <x:v>Plus, Pro and Ultimate prices</x:v>
      </x:c>
      <x:c r="F26" s="75" t="n">
        <x:v>46218.5</x:v>
      </x:c>
    </x:row>
    <x:row r="27" ht="52" customHeight="1">
      <x:c r="A27" s="45" t="n">
        <x:v>22</x:v>
      </x:c>
      <x:c r="B27" s="45" t="str">
        <x:v>Official</x:v>
      </x:c>
      <x:c r="C27" s="45" t="str">
        <x:v>Emma coverage</x:v>
      </x:c>
      <x:c r="D27" s="45" t="str">
        <x:v>https://help.emma-app.com/en/article/i-can-see-the-wrong-countrys-banks-ukuscanada-15k3f29/</x:v>
      </x:c>
      <x:c r="E27" s="45" t="str">
        <x:v>UK, US and Canada only; no outside-bank support</x:v>
      </x:c>
      <x:c r="F27" s="75" t="n">
        <x:v>46218.5</x:v>
      </x:c>
    </x:row>
    <x:row r="28" ht="52" customHeight="1">
      <x:c r="A28" s="45" t="n">
        <x:v>23</x:v>
      </x:c>
      <x:c r="B28" s="45" t="str">
        <x:v>Official</x:v>
      </x:c>
      <x:c r="C28" s="45" t="str">
        <x:v>Spiir closure notice</x:v>
      </x:c>
      <x:c r="D28" s="45" t="str">
        <x:v>https://www.spiir.com/</x:v>
      </x:c>
      <x:c r="E28" s="45" t="str">
        <x:v>Service ended 8 Jun 2026</x:v>
      </x:c>
      <x:c r="F28" s="75" t="n">
        <x:v>46218.5</x:v>
      </x:c>
    </x:row>
    <x:row r="29" ht="52" customHeight="1">
      <x:c r="A29" s="45" t="n">
        <x:v>24</x:v>
      </x:c>
      <x:c r="B29" s="45" t="str">
        <x:v>Industry</x:v>
      </x:c>
      <x:c r="C29" s="45" t="str">
        <x:v>Open Banking Limited milestone</x:v>
      </x:c>
      <x:c r="D29" s="45" t="str">
        <x:v>https://www.openbanking.org.uk/news/open-banking-limited-marks-8-years-of-transforming-the-uks-financial-landscape/</x:v>
      </x:c>
      <x:c r="E29" s="45" t="str">
        <x:v>16.5M UK user connections by late 2025</x:v>
      </x:c>
      <x:c r="F29" s="75" t="n">
        <x:v>46218.5</x:v>
      </x:c>
    </x:row>
    <x:row r="30" ht="52" customHeight="1">
      <x:c r="A30" s="45" t="n">
        <x:v>25</x:v>
      </x:c>
      <x:c r="B30" s="45" t="str">
        <x:v>Market research</x:v>
      </x:c>
      <x:c r="C30" s="45" t="str">
        <x:v>Personal finance software market</x:v>
      </x:c>
      <x:c r="D30" s="45" t="str">
        <x:v>https://www.grandviewresearch.com/industry-analysis/personal-finance-software-market-report</x:v>
      </x:c>
      <x:c r="E30" s="45" t="str">
        <x:v>$1.08B in 2022 to $1.59B by 2030; 5.1% CAGR estimate</x:v>
      </x:c>
      <x:c r="F30" s="75" t="n">
        <x:v>46218.5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034602383734d8e"/>
  </x:tableParts>
</x:worksheet>
</file>